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my-1-/Downloads/"/>
    </mc:Choice>
  </mc:AlternateContent>
  <xr:revisionPtr revIDLastSave="0" documentId="13_ncr:1_{79DD91BC-F83E-CA43-820F-C89E5AFEBCB0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بطاقة المشروع " sheetId="1" r:id="rId1"/>
    <sheet name="المبالغ المباشرة " sheetId="2" r:id="rId2"/>
    <sheet name="المالية " sheetId="3" r:id="rId3"/>
    <sheet name="ميزانية التشغيل " sheetId="4" r:id="rId4"/>
    <sheet name="قاعدة بيانات" sheetId="5" r:id="rId5"/>
  </sheets>
  <definedNames>
    <definedName name="_xlnm._FilterDatabase" localSheetId="1" hidden="1">'المبالغ المباشرة '!$A$3:$F$11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k6UEOQZFjAlCxLoutWvv8hXqGHTMt5rnnfPDZzJFlBY="/>
    </ext>
  </extLst>
</workbook>
</file>

<file path=xl/calcChain.xml><?xml version="1.0" encoding="utf-8"?>
<calcChain xmlns="http://schemas.openxmlformats.org/spreadsheetml/2006/main">
  <c r="F12" i="4" l="1"/>
  <c r="F11" i="4"/>
  <c r="F10" i="4"/>
  <c r="F9" i="4"/>
  <c r="F8" i="4"/>
  <c r="F7" i="4"/>
  <c r="F6" i="4"/>
  <c r="F5" i="4"/>
  <c r="F13" i="4" s="1"/>
  <c r="H12" i="3"/>
  <c r="H11" i="3"/>
  <c r="F8" i="3"/>
  <c r="F7" i="3"/>
  <c r="F6" i="3"/>
  <c r="F5" i="3"/>
  <c r="F4" i="3"/>
  <c r="F3" i="3"/>
  <c r="G13" i="1"/>
  <c r="G14" i="1" s="1"/>
  <c r="L14" i="1" s="1"/>
  <c r="O11" i="1"/>
  <c r="N11" i="1"/>
  <c r="M11" i="1"/>
  <c r="O10" i="1"/>
  <c r="N10" i="1"/>
  <c r="M10" i="1"/>
  <c r="O9" i="1"/>
  <c r="N9" i="1"/>
  <c r="M9" i="1"/>
  <c r="O8" i="1"/>
  <c r="N8" i="1"/>
  <c r="M8" i="1"/>
  <c r="O7" i="1"/>
  <c r="N7" i="1"/>
  <c r="M7" i="1"/>
  <c r="O6" i="1"/>
  <c r="O14" i="1" s="1"/>
  <c r="N6" i="1"/>
  <c r="M6" i="1"/>
</calcChain>
</file>

<file path=xl/sharedStrings.xml><?xml version="1.0" encoding="utf-8"?>
<sst xmlns="http://schemas.openxmlformats.org/spreadsheetml/2006/main" count="102" uniqueCount="87">
  <si>
    <t>اسم الجهة:</t>
  </si>
  <si>
    <t>ديوان المظالم</t>
  </si>
  <si>
    <t>تاريخ بداية العقد:</t>
  </si>
  <si>
    <t xml:space="preserve">تاريخ النهاية : </t>
  </si>
  <si>
    <t>مدير المشروع:</t>
  </si>
  <si>
    <t>ضابط الإتصال</t>
  </si>
  <si>
    <t xml:space="preserve">اسم المشروع: </t>
  </si>
  <si>
    <t>مدة العقد:</t>
  </si>
  <si>
    <t>٦ أشهر</t>
  </si>
  <si>
    <t>فئة المشروع</t>
  </si>
  <si>
    <t>A</t>
  </si>
  <si>
    <t>مستشار المشروع:</t>
  </si>
  <si>
    <t>مالك المشروع:</t>
  </si>
  <si>
    <t>م</t>
  </si>
  <si>
    <t>نطاق العمل</t>
  </si>
  <si>
    <t>العدد الإجمالي</t>
  </si>
  <si>
    <t xml:space="preserve"> الوحدة</t>
  </si>
  <si>
    <t>التكلفة الفردية</t>
  </si>
  <si>
    <t>الميزانية</t>
  </si>
  <si>
    <t>العدد المستهلك</t>
  </si>
  <si>
    <t>المصروفات</t>
  </si>
  <si>
    <t>العدد المتبقي</t>
  </si>
  <si>
    <t>الميزانية المتبقية</t>
  </si>
  <si>
    <t>نسبة الإنجاز</t>
  </si>
  <si>
    <t>صناعة وإنتاج أفلام سينمائية من ١-٣ دقائق</t>
  </si>
  <si>
    <t xml:space="preserve">فيديو </t>
  </si>
  <si>
    <t>صناعة وإنتاج تقارير ميدانية وافلام إبداعية من ١-٣ دقائق</t>
  </si>
  <si>
    <t>صناعة وإنتاج أفلام ثلاثية الأبعاد (3D) وموشن جرافيك لمدة ١-٣ دقائق</t>
  </si>
  <si>
    <t>موشن</t>
  </si>
  <si>
    <t>التسجيل الصوتي لأعمال ديوان المظالم</t>
  </si>
  <si>
    <t>صوت</t>
  </si>
  <si>
    <t>توثيق وتغطية مناسبات وفعاليات ديوان المظالم محلياً ودولياً</t>
  </si>
  <si>
    <t xml:space="preserve">تغطية </t>
  </si>
  <si>
    <t>تصميم منشورات لأعمال وخدمات ديوان المظالم</t>
  </si>
  <si>
    <t>تصميم</t>
  </si>
  <si>
    <t>الإجماليات</t>
  </si>
  <si>
    <t>ميزانية المشروع</t>
  </si>
  <si>
    <t>مصروفات المشروع</t>
  </si>
  <si>
    <t>متوسط الإنجاز</t>
  </si>
  <si>
    <t>ضربة القيمة المضافة</t>
  </si>
  <si>
    <t>الضريبة المستحقة</t>
  </si>
  <si>
    <t>إجمالي المشروع</t>
  </si>
  <si>
    <t>الميزانية المتبقية مع الضريبة</t>
  </si>
  <si>
    <t>المدة المتبقية من المشروع</t>
  </si>
  <si>
    <t>نسبة ما مضى من المشروع</t>
  </si>
  <si>
    <t>نسبة المصروف من الميزانية</t>
  </si>
  <si>
    <t>الفوترة</t>
  </si>
  <si>
    <t>الرقم</t>
  </si>
  <si>
    <t>المفوتر من المصروفات</t>
  </si>
  <si>
    <t>المحصل من المفوتر</t>
  </si>
  <si>
    <t>المبلغ المتبقي</t>
  </si>
  <si>
    <t>النسبة</t>
  </si>
  <si>
    <t>التاريخ</t>
  </si>
  <si>
    <t>القيمة</t>
  </si>
  <si>
    <t>الحالة</t>
  </si>
  <si>
    <t>قائمة المصروفات</t>
  </si>
  <si>
    <t xml:space="preserve">الاسم </t>
  </si>
  <si>
    <t xml:space="preserve">الدور </t>
  </si>
  <si>
    <t>مركز التكلفة</t>
  </si>
  <si>
    <t>المبلغ</t>
  </si>
  <si>
    <t xml:space="preserve">ملاحظات </t>
  </si>
  <si>
    <t xml:space="preserve">اجمالي المبالغ </t>
  </si>
  <si>
    <t xml:space="preserve">تكاليف مشروع علم عقد الخمس مكاتب </t>
  </si>
  <si>
    <t>#</t>
  </si>
  <si>
    <t>البند</t>
  </si>
  <si>
    <t>التكلفة غير مباشرة</t>
  </si>
  <si>
    <t>التكلفة مباشرة</t>
  </si>
  <si>
    <t>إجمالي التكاليف</t>
  </si>
  <si>
    <t>القيمة الإجمالية للمشروع للبند</t>
  </si>
  <si>
    <t>الصافي</t>
  </si>
  <si>
    <t>صافي الارباح</t>
  </si>
  <si>
    <t>المبلغ الاجمالي للمشروع</t>
  </si>
  <si>
    <t>قيمة الضريبة المضافة</t>
  </si>
  <si>
    <t xml:space="preserve">قيمة المشروع شامل الضريبة </t>
  </si>
  <si>
    <t>ميزانية تشغيل المشروع</t>
  </si>
  <si>
    <t xml:space="preserve">الميزانية الانفرادية </t>
  </si>
  <si>
    <t>الكمية</t>
  </si>
  <si>
    <t>الميزانية الإجمالية للبند</t>
  </si>
  <si>
    <t>نسبة إدارة المخاطر في المشروع %10</t>
  </si>
  <si>
    <t>مبالغ نثرية للعميل</t>
  </si>
  <si>
    <t xml:space="preserve">إجمالي ميزانية تشغيل المشروع </t>
  </si>
  <si>
    <t>تم التسجيل</t>
  </si>
  <si>
    <t>تم الرفع</t>
  </si>
  <si>
    <t>تم السداد</t>
  </si>
  <si>
    <t xml:space="preserve">التسجيل الصوتي للأعمال </t>
  </si>
  <si>
    <t>توثيق وتغطية مناسبات وفعاليات محلياً ودولياً</t>
  </si>
  <si>
    <t>تصميم منشورات لأعمال وخدمات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</si>
</sst>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mmmm\ d\,\ yyyy"/>
    <numFmt numFmtId="165" formatCode="[$-2000401]0"/>
    <numFmt numFmtId="166" formatCode="_-* #,##0.00_-;\-* #,##0.00_-;_-* &quot;-&quot;??_-;_-@"/>
  </numFmts>
  <fonts count="23" x14ac:knownFonts="1">
    <font>
      <sz val="12"/>
      <color theme="1"/>
      <name val="Calibri"/>
      <scheme val="minor"/>
    </font>
    <font>
      <sz val="8"/>
      <color theme="1"/>
      <name val="Cairo"/>
    </font>
    <font>
      <sz val="12"/>
      <color theme="1"/>
      <name val="Cairo"/>
    </font>
    <font>
      <sz val="12"/>
      <name val="Calibri"/>
      <family val="2"/>
    </font>
    <font>
      <sz val="8"/>
      <color theme="0"/>
      <name val="Cairo"/>
    </font>
    <font>
      <sz val="9"/>
      <color theme="1"/>
      <name val="Cairo"/>
    </font>
    <font>
      <b/>
      <sz val="10"/>
      <color theme="1"/>
      <name val="Cairo"/>
    </font>
    <font>
      <b/>
      <sz val="11"/>
      <color theme="1"/>
      <name val="Cairo"/>
    </font>
    <font>
      <sz val="10"/>
      <color theme="1"/>
      <name val="Cairo"/>
    </font>
    <font>
      <sz val="10"/>
      <color theme="0"/>
      <name val="Cairo"/>
    </font>
    <font>
      <sz val="9"/>
      <color rgb="FF000000"/>
      <name val="Cairo"/>
    </font>
    <font>
      <b/>
      <sz val="16"/>
      <color rgb="FFFFFFFF"/>
      <name val="Cairo"/>
    </font>
    <font>
      <sz val="12"/>
      <color rgb="FF000000"/>
      <name val="Cairo"/>
    </font>
    <font>
      <sz val="12"/>
      <color rgb="FFFF0000"/>
      <name val="Cairo"/>
    </font>
    <font>
      <sz val="12"/>
      <color rgb="FFFFFFFF"/>
      <name val="Cairo"/>
    </font>
    <font>
      <b/>
      <sz val="16"/>
      <color rgb="FF000000"/>
      <name val="Cairo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0"/>
      <color theme="0"/>
      <name val="Cairo"/>
    </font>
    <font>
      <b/>
      <sz val="15"/>
      <color theme="0"/>
      <name val="Cairo"/>
    </font>
    <font>
      <sz val="11"/>
      <color theme="1"/>
      <name val="Cairo"/>
    </font>
    <font>
      <b/>
      <sz val="12"/>
      <color theme="1"/>
      <name val="Cairo"/>
    </font>
  </fonts>
  <fills count="13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2E75B5"/>
        <bgColor rgb="FF2E75B5"/>
      </patternFill>
    </fill>
    <fill>
      <patternFill patternType="solid">
        <fgColor rgb="FFECECEC"/>
        <bgColor rgb="FFECECEC"/>
      </patternFill>
    </fill>
    <fill>
      <patternFill patternType="solid">
        <fgColor rgb="FF92D050"/>
        <bgColor rgb="FF92D050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00B050"/>
        <bgColor rgb="FF00B050"/>
      </patternFill>
    </fill>
    <fill>
      <patternFill patternType="solid">
        <fgColor rgb="FFC55A11"/>
        <bgColor rgb="FFC55A11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 applyAlignment="1">
      <alignment horizontal="center" vertical="center" shrinkToFit="1" readingOrder="2"/>
    </xf>
    <xf numFmtId="0" fontId="2" fillId="0" borderId="0" xfId="0" applyFont="1"/>
    <xf numFmtId="0" fontId="1" fillId="2" borderId="4" xfId="0" applyFont="1" applyFill="1" applyBorder="1" applyAlignment="1">
      <alignment horizontal="center" vertical="center" shrinkToFit="1" readingOrder="2"/>
    </xf>
    <xf numFmtId="164" fontId="1" fillId="0" borderId="4" xfId="0" applyNumberFormat="1" applyFont="1" applyBorder="1" applyAlignment="1">
      <alignment horizontal="center" vertical="center" shrinkToFit="1" readingOrder="2"/>
    </xf>
    <xf numFmtId="0" fontId="1" fillId="0" borderId="4" xfId="0" applyFont="1" applyBorder="1" applyAlignment="1">
      <alignment horizontal="center" vertical="center" shrinkToFit="1" readingOrder="2"/>
    </xf>
    <xf numFmtId="0" fontId="1" fillId="0" borderId="4" xfId="0" applyFont="1" applyBorder="1" applyAlignment="1">
      <alignment horizontal="center" vertical="center" shrinkToFit="1" readingOrder="1"/>
    </xf>
    <xf numFmtId="4" fontId="1" fillId="0" borderId="4" xfId="0" applyNumberFormat="1" applyFont="1" applyBorder="1" applyAlignment="1">
      <alignment horizontal="center" vertical="center" shrinkToFit="1" readingOrder="2"/>
    </xf>
    <xf numFmtId="0" fontId="1" fillId="3" borderId="4" xfId="0" applyFont="1" applyFill="1" applyBorder="1" applyAlignment="1">
      <alignment horizontal="center" vertical="center" shrinkToFit="1" readingOrder="2"/>
    </xf>
    <xf numFmtId="4" fontId="1" fillId="3" borderId="4" xfId="0" applyNumberFormat="1" applyFont="1" applyFill="1" applyBorder="1" applyAlignment="1">
      <alignment horizontal="center" vertical="center" shrinkToFit="1" readingOrder="2"/>
    </xf>
    <xf numFmtId="0" fontId="4" fillId="4" borderId="4" xfId="0" applyFont="1" applyFill="1" applyBorder="1" applyAlignment="1">
      <alignment horizontal="center" vertical="center" shrinkToFit="1" readingOrder="2"/>
    </xf>
    <xf numFmtId="3" fontId="4" fillId="4" borderId="4" xfId="0" applyNumberFormat="1" applyFont="1" applyFill="1" applyBorder="1" applyAlignment="1">
      <alignment horizontal="center" vertical="center" shrinkToFit="1" readingOrder="2"/>
    </xf>
    <xf numFmtId="3" fontId="4" fillId="4" borderId="4" xfId="0" applyNumberFormat="1" applyFont="1" applyFill="1" applyBorder="1" applyAlignment="1">
      <alignment horizontal="center" vertical="center" shrinkToFit="1" readingOrder="1"/>
    </xf>
    <xf numFmtId="3" fontId="1" fillId="0" borderId="4" xfId="0" applyNumberFormat="1" applyFont="1" applyBorder="1" applyAlignment="1">
      <alignment horizontal="center" vertical="center" shrinkToFit="1" readingOrder="1"/>
    </xf>
    <xf numFmtId="0" fontId="1" fillId="0" borderId="4" xfId="0" applyFont="1" applyBorder="1" applyAlignment="1">
      <alignment horizontal="center" vertical="center" shrinkToFit="1"/>
    </xf>
    <xf numFmtId="165" fontId="2" fillId="0" borderId="4" xfId="0" applyNumberFormat="1" applyFont="1" applyBorder="1" applyAlignment="1">
      <alignment horizontal="center" vertical="center"/>
    </xf>
    <xf numFmtId="3" fontId="1" fillId="5" borderId="4" xfId="0" applyNumberFormat="1" applyFont="1" applyFill="1" applyBorder="1" applyAlignment="1">
      <alignment horizontal="center" vertical="center" shrinkToFit="1" readingOrder="1"/>
    </xf>
    <xf numFmtId="3" fontId="1" fillId="6" borderId="4" xfId="0" applyNumberFormat="1" applyFont="1" applyFill="1" applyBorder="1" applyAlignment="1">
      <alignment horizontal="center" vertical="center" shrinkToFit="1" readingOrder="1"/>
    </xf>
    <xf numFmtId="3" fontId="1" fillId="6" borderId="4" xfId="0" applyNumberFormat="1" applyFont="1" applyFill="1" applyBorder="1" applyAlignment="1">
      <alignment horizontal="center" vertical="center" shrinkToFit="1"/>
    </xf>
    <xf numFmtId="9" fontId="6" fillId="0" borderId="4" xfId="0" applyNumberFormat="1" applyFont="1" applyBorder="1" applyAlignment="1">
      <alignment horizontal="center" vertical="center" shrinkToFit="1" readingOrder="1"/>
    </xf>
    <xf numFmtId="10" fontId="8" fillId="0" borderId="4" xfId="0" applyNumberFormat="1" applyFont="1" applyBorder="1" applyAlignment="1">
      <alignment horizontal="center" vertical="center" shrinkToFit="1" readingOrder="1"/>
    </xf>
    <xf numFmtId="9" fontId="1" fillId="0" borderId="4" xfId="0" applyNumberFormat="1" applyFont="1" applyBorder="1" applyAlignment="1">
      <alignment horizontal="center" vertical="center" shrinkToFit="1" readingOrder="1"/>
    </xf>
    <xf numFmtId="166" fontId="1" fillId="0" borderId="4" xfId="0" applyNumberFormat="1" applyFont="1" applyBorder="1" applyAlignment="1">
      <alignment horizontal="center" vertical="center" shrinkToFit="1" readingOrder="1"/>
    </xf>
    <xf numFmtId="3" fontId="1" fillId="0" borderId="4" xfId="0" applyNumberFormat="1" applyFont="1" applyBorder="1" applyAlignment="1">
      <alignment horizontal="center" vertical="center" shrinkToFit="1" readingOrder="2"/>
    </xf>
    <xf numFmtId="0" fontId="10" fillId="3" borderId="16" xfId="0" applyFont="1" applyFill="1" applyBorder="1" applyAlignment="1">
      <alignment horizontal="center"/>
    </xf>
    <xf numFmtId="0" fontId="12" fillId="0" borderId="0" xfId="0" applyFont="1"/>
    <xf numFmtId="0" fontId="11" fillId="2" borderId="4" xfId="0" applyFont="1" applyFill="1" applyBorder="1" applyAlignment="1">
      <alignment horizontal="center" vertical="center"/>
    </xf>
    <xf numFmtId="165" fontId="12" fillId="0" borderId="4" xfId="0" applyNumberFormat="1" applyFont="1" applyBorder="1" applyAlignment="1">
      <alignment horizontal="center" vertical="center"/>
    </xf>
    <xf numFmtId="165" fontId="12" fillId="0" borderId="11" xfId="0" applyNumberFormat="1" applyFont="1" applyBorder="1" applyAlignment="1">
      <alignment horizontal="center" vertical="center"/>
    </xf>
    <xf numFmtId="165" fontId="12" fillId="0" borderId="8" xfId="0" applyNumberFormat="1" applyFont="1" applyBorder="1" applyAlignment="1">
      <alignment horizontal="center" vertical="center"/>
    </xf>
    <xf numFmtId="165" fontId="13" fillId="0" borderId="4" xfId="0" applyNumberFormat="1" applyFont="1" applyBorder="1" applyAlignment="1">
      <alignment horizontal="center" vertical="center"/>
    </xf>
    <xf numFmtId="165" fontId="14" fillId="0" borderId="4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6" fillId="0" borderId="2" xfId="0" applyFont="1" applyBorder="1"/>
    <xf numFmtId="0" fontId="12" fillId="0" borderId="4" xfId="0" applyFont="1" applyBorder="1" applyAlignment="1">
      <alignment horizontal="center" vertical="center"/>
    </xf>
    <xf numFmtId="0" fontId="17" fillId="0" borderId="0" xfId="0" applyFont="1"/>
    <xf numFmtId="0" fontId="18" fillId="0" borderId="0" xfId="0" applyFont="1" applyAlignment="1">
      <alignment horizontal="center"/>
    </xf>
    <xf numFmtId="0" fontId="19" fillId="4" borderId="4" xfId="0" applyFont="1" applyFill="1" applyBorder="1" applyAlignment="1">
      <alignment horizontal="center" vertical="center" wrapText="1" readingOrder="1"/>
    </xf>
    <xf numFmtId="0" fontId="20" fillId="4" borderId="4" xfId="0" applyFont="1" applyFill="1" applyBorder="1" applyAlignment="1">
      <alignment horizontal="center" vertical="center" wrapText="1" readingOrder="1"/>
    </xf>
    <xf numFmtId="0" fontId="21" fillId="3" borderId="4" xfId="0" applyFont="1" applyFill="1" applyBorder="1" applyAlignment="1">
      <alignment horizontal="center" vertical="center" wrapText="1" readingOrder="1"/>
    </xf>
    <xf numFmtId="4" fontId="21" fillId="0" borderId="4" xfId="0" applyNumberFormat="1" applyFont="1" applyBorder="1" applyAlignment="1">
      <alignment horizontal="center" vertical="center" shrinkToFit="1"/>
    </xf>
    <xf numFmtId="3" fontId="21" fillId="9" borderId="4" xfId="0" applyNumberFormat="1" applyFont="1" applyFill="1" applyBorder="1" applyAlignment="1">
      <alignment horizontal="center" vertical="center" wrapText="1" readingOrder="1"/>
    </xf>
    <xf numFmtId="165" fontId="20" fillId="4" borderId="4" xfId="0" applyNumberFormat="1" applyFont="1" applyFill="1" applyBorder="1" applyAlignment="1">
      <alignment horizontal="center" vertical="center" wrapText="1" readingOrder="1"/>
    </xf>
    <xf numFmtId="165" fontId="11" fillId="4" borderId="4" xfId="0" applyNumberFormat="1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1" fillId="3" borderId="1" xfId="0" applyFont="1" applyFill="1" applyBorder="1" applyAlignment="1">
      <alignment horizontal="center" vertical="center" wrapText="1" readingOrder="1"/>
    </xf>
    <xf numFmtId="0" fontId="21" fillId="10" borderId="8" xfId="0" applyFont="1" applyFill="1" applyBorder="1" applyAlignment="1">
      <alignment horizontal="center" vertical="center" wrapText="1" readingOrder="1"/>
    </xf>
    <xf numFmtId="0" fontId="22" fillId="0" borderId="3" xfId="0" applyFont="1" applyBorder="1" applyAlignment="1">
      <alignment horizontal="center" vertical="center" wrapText="1" readingOrder="1"/>
    </xf>
    <xf numFmtId="0" fontId="19" fillId="0" borderId="4" xfId="0" applyFont="1" applyBorder="1" applyAlignment="1">
      <alignment horizontal="center" vertical="center" wrapText="1" readingOrder="1"/>
    </xf>
    <xf numFmtId="0" fontId="20" fillId="0" borderId="4" xfId="0" applyFont="1" applyBorder="1" applyAlignment="1">
      <alignment horizontal="center" vertical="center" wrapText="1" readingOrder="1"/>
    </xf>
    <xf numFmtId="0" fontId="21" fillId="0" borderId="4" xfId="0" applyFont="1" applyBorder="1" applyAlignment="1">
      <alignment horizontal="center" vertical="center" wrapText="1" readingOrder="1"/>
    </xf>
    <xf numFmtId="165" fontId="20" fillId="0" borderId="4" xfId="0" applyNumberFormat="1" applyFont="1" applyBorder="1" applyAlignment="1">
      <alignment horizontal="center" vertical="center" wrapText="1" readingOrder="1"/>
    </xf>
    <xf numFmtId="165" fontId="11" fillId="0" borderId="4" xfId="0" applyNumberFormat="1" applyFont="1" applyBorder="1" applyAlignment="1">
      <alignment horizontal="center" vertical="center" wrapText="1" readingOrder="1"/>
    </xf>
    <xf numFmtId="0" fontId="21" fillId="0" borderId="1" xfId="0" applyFont="1" applyBorder="1" applyAlignment="1">
      <alignment horizontal="center" vertical="center" wrapText="1" readingOrder="1"/>
    </xf>
    <xf numFmtId="0" fontId="21" fillId="0" borderId="8" xfId="0" applyFont="1" applyBorder="1" applyAlignment="1">
      <alignment horizontal="center" vertical="center" wrapText="1" readingOrder="1"/>
    </xf>
    <xf numFmtId="0" fontId="16" fillId="0" borderId="0" xfId="0" applyFont="1"/>
    <xf numFmtId="0" fontId="16" fillId="11" borderId="16" xfId="0" applyFont="1" applyFill="1" applyBorder="1"/>
    <xf numFmtId="0" fontId="16" fillId="4" borderId="16" xfId="0" applyFont="1" applyFill="1" applyBorder="1"/>
    <xf numFmtId="0" fontId="16" fillId="12" borderId="16" xfId="0" applyFont="1" applyFill="1" applyBorder="1"/>
    <xf numFmtId="0" fontId="1" fillId="0" borderId="8" xfId="0" applyFont="1" applyBorder="1" applyAlignment="1">
      <alignment horizontal="center" vertical="center" shrinkToFit="1" readingOrder="2"/>
    </xf>
    <xf numFmtId="0" fontId="3" fillId="0" borderId="15" xfId="0" applyFont="1" applyBorder="1"/>
    <xf numFmtId="0" fontId="3" fillId="0" borderId="11" xfId="0" applyFont="1" applyBorder="1"/>
    <xf numFmtId="10" fontId="2" fillId="0" borderId="8" xfId="0" applyNumberFormat="1" applyFont="1" applyBorder="1" applyAlignment="1">
      <alignment horizontal="center" vertical="center" shrinkToFit="1" readingOrder="2"/>
    </xf>
    <xf numFmtId="0" fontId="8" fillId="2" borderId="1" xfId="0" applyFont="1" applyFill="1" applyBorder="1" applyAlignment="1">
      <alignment horizontal="center" vertical="center" shrinkToFit="1" readingOrder="2"/>
    </xf>
    <xf numFmtId="0" fontId="3" fillId="0" borderId="2" xfId="0" applyFont="1" applyBorder="1"/>
    <xf numFmtId="1" fontId="8" fillId="2" borderId="1" xfId="0" applyNumberFormat="1" applyFont="1" applyFill="1" applyBorder="1" applyAlignment="1">
      <alignment horizontal="center" vertical="center" shrinkToFit="1" readingOrder="2"/>
    </xf>
    <xf numFmtId="43" fontId="1" fillId="0" borderId="8" xfId="0" applyNumberFormat="1" applyFont="1" applyBorder="1" applyAlignment="1">
      <alignment horizontal="center" vertical="center" shrinkToFit="1" readingOrder="2"/>
    </xf>
    <xf numFmtId="10" fontId="8" fillId="0" borderId="1" xfId="0" applyNumberFormat="1" applyFont="1" applyBorder="1" applyAlignment="1">
      <alignment horizontal="center" vertical="center" shrinkToFit="1" readingOrder="1"/>
    </xf>
    <xf numFmtId="0" fontId="7" fillId="0" borderId="5" xfId="0" applyFont="1" applyBorder="1" applyAlignment="1">
      <alignment horizontal="center" vertical="center" shrinkToFit="1" readingOrder="2"/>
    </xf>
    <xf numFmtId="0" fontId="3" fillId="0" borderId="7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2" xfId="0" applyFont="1" applyBorder="1"/>
    <xf numFmtId="0" fontId="3" fillId="0" borderId="14" xfId="0" applyFont="1" applyBorder="1"/>
    <xf numFmtId="0" fontId="9" fillId="4" borderId="1" xfId="0" applyFont="1" applyFill="1" applyBorder="1" applyAlignment="1">
      <alignment horizontal="center" vertical="center" shrinkToFit="1" readingOrder="2"/>
    </xf>
    <xf numFmtId="3" fontId="9" fillId="4" borderId="1" xfId="0" applyNumberFormat="1" applyFont="1" applyFill="1" applyBorder="1" applyAlignment="1">
      <alignment horizontal="center" vertical="center" shrinkToFit="1" readingOrder="1"/>
    </xf>
    <xf numFmtId="0" fontId="3" fillId="0" borderId="3" xfId="0" applyFont="1" applyBorder="1"/>
    <xf numFmtId="3" fontId="9" fillId="4" borderId="1" xfId="0" applyNumberFormat="1" applyFont="1" applyFill="1" applyBorder="1" applyAlignment="1">
      <alignment horizontal="center" vertical="center" shrinkToFit="1" readingOrder="2"/>
    </xf>
    <xf numFmtId="0" fontId="5" fillId="0" borderId="1" xfId="0" applyFont="1" applyBorder="1" applyAlignment="1">
      <alignment horizontal="center" vertical="center" shrinkToFit="1"/>
    </xf>
    <xf numFmtId="3" fontId="8" fillId="0" borderId="1" xfId="0" applyNumberFormat="1" applyFont="1" applyBorder="1" applyAlignment="1">
      <alignment horizontal="center" vertical="center" shrinkToFit="1" readingOrder="2"/>
    </xf>
    <xf numFmtId="3" fontId="8" fillId="0" borderId="1" xfId="0" applyNumberFormat="1" applyFont="1" applyBorder="1" applyAlignment="1">
      <alignment horizontal="center" vertical="center" shrinkToFit="1" readingOrder="1"/>
    </xf>
    <xf numFmtId="0" fontId="2" fillId="2" borderId="8" xfId="0" applyFont="1" applyFill="1" applyBorder="1" applyAlignment="1">
      <alignment horizontal="center" vertical="center" shrinkToFit="1" readingOrder="2"/>
    </xf>
    <xf numFmtId="0" fontId="8" fillId="0" borderId="1" xfId="0" applyFont="1" applyBorder="1" applyAlignment="1">
      <alignment horizontal="center" vertical="center" shrinkToFit="1" readingOrder="2"/>
    </xf>
    <xf numFmtId="0" fontId="3" fillId="0" borderId="6" xfId="0" applyFont="1" applyBorder="1"/>
    <xf numFmtId="0" fontId="0" fillId="0" borderId="0" xfId="0"/>
    <xf numFmtId="0" fontId="3" fillId="0" borderId="13" xfId="0" applyFont="1" applyBorder="1"/>
    <xf numFmtId="0" fontId="1" fillId="2" borderId="1" xfId="0" applyFont="1" applyFill="1" applyBorder="1" applyAlignment="1">
      <alignment horizontal="center" vertical="center" shrinkToFit="1" readingOrder="2"/>
    </xf>
    <xf numFmtId="49" fontId="1" fillId="0" borderId="1" xfId="0" applyNumberFormat="1" applyFont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center" vertical="center" shrinkToFit="1" readingOrder="2"/>
    </xf>
    <xf numFmtId="0" fontId="11" fillId="7" borderId="5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21" fillId="4" borderId="8" xfId="0" applyFont="1" applyFill="1" applyBorder="1" applyAlignment="1">
      <alignment horizontal="center" vertical="center" wrapText="1" readingOrder="1"/>
    </xf>
    <xf numFmtId="0" fontId="11" fillId="2" borderId="1" xfId="0" applyFont="1" applyFill="1" applyBorder="1" applyAlignment="1">
      <alignment horizontal="center" vertical="center" wrapText="1" readingOrder="1"/>
    </xf>
    <xf numFmtId="0" fontId="19" fillId="4" borderId="1" xfId="0" applyFont="1" applyFill="1" applyBorder="1" applyAlignment="1">
      <alignment horizontal="center" vertical="center" wrapText="1" readingOrder="1"/>
    </xf>
    <xf numFmtId="0" fontId="10" fillId="3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 readingOrder="1"/>
    </xf>
    <xf numFmtId="0" fontId="11" fillId="0" borderId="5" xfId="0" applyFont="1" applyBorder="1" applyAlignment="1">
      <alignment horizontal="center" vertical="center"/>
    </xf>
    <xf numFmtId="0" fontId="3" fillId="0" borderId="17" xfId="0" applyFont="1" applyBorder="1"/>
    <xf numFmtId="0" fontId="3" fillId="0" borderId="18" xfId="0" applyFont="1" applyBorder="1"/>
    <xf numFmtId="0" fontId="22" fillId="10" borderId="1" xfId="0" applyFont="1" applyFill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"/>
  <sheetViews>
    <sheetView rightToLeft="1" tabSelected="1" zoomScale="141" workbookViewId="0">
      <selection activeCell="J15" sqref="J15"/>
    </sheetView>
  </sheetViews>
  <sheetFormatPr baseColWidth="10" defaultColWidth="11.1640625" defaultRowHeight="15" customHeight="1" x14ac:dyDescent="0.2"/>
  <cols>
    <col min="1" max="1" width="1.6640625" customWidth="1"/>
    <col min="2" max="4" width="6.5" customWidth="1"/>
    <col min="5" max="5" width="8" customWidth="1"/>
    <col min="6" max="6" width="16.6640625" customWidth="1"/>
    <col min="7" max="7" width="15.1640625" customWidth="1"/>
    <col min="8" max="8" width="8.1640625" customWidth="1"/>
    <col min="9" max="9" width="10.1640625" customWidth="1"/>
    <col min="10" max="10" width="11.1640625" customWidth="1"/>
    <col min="11" max="11" width="13.5" customWidth="1"/>
    <col min="12" max="12" width="8.83203125" customWidth="1"/>
    <col min="13" max="13" width="6.5" customWidth="1"/>
    <col min="14" max="14" width="10.1640625" customWidth="1"/>
    <col min="15" max="15" width="15.1640625" customWidth="1"/>
    <col min="16" max="16" width="7.83203125" customWidth="1"/>
    <col min="17" max="26" width="6.5" customWidth="1"/>
  </cols>
  <sheetData>
    <row r="1" spans="1:26" ht="15.75" customHeight="1" x14ac:dyDescent="0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6">
      <c r="A2" s="87" t="s">
        <v>0</v>
      </c>
      <c r="B2" s="65"/>
      <c r="C2" s="88" t="s">
        <v>1</v>
      </c>
      <c r="D2" s="77"/>
      <c r="E2" s="77"/>
      <c r="F2" s="65"/>
      <c r="G2" s="3" t="s">
        <v>2</v>
      </c>
      <c r="H2" s="4">
        <v>45508</v>
      </c>
      <c r="I2" s="3" t="s">
        <v>3</v>
      </c>
      <c r="J2" s="4">
        <v>45873</v>
      </c>
      <c r="K2" s="3" t="s">
        <v>4</v>
      </c>
      <c r="L2" s="5"/>
      <c r="M2" s="3" t="s">
        <v>5</v>
      </c>
      <c r="N2" s="5"/>
      <c r="O2" s="5"/>
      <c r="P2" s="5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6">
      <c r="A3" s="87" t="s">
        <v>6</v>
      </c>
      <c r="B3" s="65"/>
      <c r="C3" s="88"/>
      <c r="D3" s="77"/>
      <c r="E3" s="77"/>
      <c r="F3" s="65"/>
      <c r="G3" s="3" t="s">
        <v>7</v>
      </c>
      <c r="H3" s="6" t="s">
        <v>8</v>
      </c>
      <c r="I3" s="3" t="s">
        <v>9</v>
      </c>
      <c r="J3" s="7" t="s">
        <v>10</v>
      </c>
      <c r="K3" s="3" t="s">
        <v>11</v>
      </c>
      <c r="L3" s="5"/>
      <c r="M3" s="3" t="s">
        <v>12</v>
      </c>
      <c r="N3" s="5"/>
      <c r="O3" s="5"/>
      <c r="P3" s="5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6">
      <c r="A4" s="5"/>
      <c r="B4" s="5"/>
      <c r="C4" s="8"/>
      <c r="D4" s="8"/>
      <c r="E4" s="8"/>
      <c r="F4" s="8"/>
      <c r="G4" s="8"/>
      <c r="H4" s="8"/>
      <c r="I4" s="9"/>
      <c r="J4" s="8"/>
      <c r="K4" s="8"/>
      <c r="L4" s="8"/>
      <c r="M4" s="8"/>
      <c r="N4" s="8"/>
      <c r="O4" s="8"/>
      <c r="P4" s="5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6">
      <c r="A5" s="5"/>
      <c r="B5" s="10" t="s">
        <v>13</v>
      </c>
      <c r="C5" s="89" t="s">
        <v>14</v>
      </c>
      <c r="D5" s="77"/>
      <c r="E5" s="77"/>
      <c r="F5" s="65"/>
      <c r="G5" s="11" t="s">
        <v>15</v>
      </c>
      <c r="H5" s="11" t="s">
        <v>16</v>
      </c>
      <c r="I5" s="11" t="s">
        <v>17</v>
      </c>
      <c r="J5" s="11" t="s">
        <v>18</v>
      </c>
      <c r="K5" s="11" t="s">
        <v>19</v>
      </c>
      <c r="L5" s="11" t="s">
        <v>20</v>
      </c>
      <c r="M5" s="11" t="s">
        <v>21</v>
      </c>
      <c r="N5" s="12" t="s">
        <v>22</v>
      </c>
      <c r="O5" s="11" t="s">
        <v>23</v>
      </c>
      <c r="P5" s="5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6">
      <c r="A6" s="5"/>
      <c r="B6" s="5">
        <v>1</v>
      </c>
      <c r="C6" s="79" t="s">
        <v>24</v>
      </c>
      <c r="D6" s="77"/>
      <c r="E6" s="77"/>
      <c r="F6" s="65"/>
      <c r="G6" s="13">
        <v>0</v>
      </c>
      <c r="H6" s="14" t="s">
        <v>25</v>
      </c>
      <c r="I6" s="13">
        <v>0</v>
      </c>
      <c r="J6" s="13"/>
      <c r="K6" s="15">
        <v>0</v>
      </c>
      <c r="L6" s="16">
        <v>0</v>
      </c>
      <c r="M6" s="17">
        <f t="shared" ref="M6:M11" si="0">G6-K6</f>
        <v>0</v>
      </c>
      <c r="N6" s="18">
        <f t="shared" ref="N6:N11" si="1">J6-L6</f>
        <v>0</v>
      </c>
      <c r="O6" s="19" t="e">
        <f t="shared" ref="O6:O11" si="2">(K6/G6)</f>
        <v>#DIV/0!</v>
      </c>
      <c r="P6" s="5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 x14ac:dyDescent="0.6">
      <c r="A7" s="5"/>
      <c r="B7" s="5">
        <v>2</v>
      </c>
      <c r="C7" s="79" t="s">
        <v>26</v>
      </c>
      <c r="D7" s="77"/>
      <c r="E7" s="77"/>
      <c r="F7" s="65"/>
      <c r="G7" s="13">
        <v>0</v>
      </c>
      <c r="H7" s="14" t="s">
        <v>25</v>
      </c>
      <c r="I7" s="13">
        <v>0</v>
      </c>
      <c r="J7" s="13"/>
      <c r="K7" s="15">
        <v>0</v>
      </c>
      <c r="L7" s="16">
        <v>0</v>
      </c>
      <c r="M7" s="17">
        <f t="shared" si="0"/>
        <v>0</v>
      </c>
      <c r="N7" s="18">
        <f t="shared" si="1"/>
        <v>0</v>
      </c>
      <c r="O7" s="19" t="e">
        <f t="shared" si="2"/>
        <v>#DIV/0!</v>
      </c>
      <c r="P7" s="5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6">
      <c r="A8" s="5"/>
      <c r="B8" s="5">
        <v>3</v>
      </c>
      <c r="C8" s="79" t="s">
        <v>27</v>
      </c>
      <c r="D8" s="77"/>
      <c r="E8" s="77"/>
      <c r="F8" s="65"/>
      <c r="G8" s="13">
        <v>0</v>
      </c>
      <c r="H8" s="14" t="s">
        <v>28</v>
      </c>
      <c r="I8" s="13">
        <v>0</v>
      </c>
      <c r="J8" s="13"/>
      <c r="K8" s="15">
        <v>0</v>
      </c>
      <c r="L8" s="16">
        <v>0</v>
      </c>
      <c r="M8" s="17">
        <f t="shared" si="0"/>
        <v>0</v>
      </c>
      <c r="N8" s="18">
        <f t="shared" si="1"/>
        <v>0</v>
      </c>
      <c r="O8" s="19" t="e">
        <f t="shared" si="2"/>
        <v>#DIV/0!</v>
      </c>
      <c r="P8" s="5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6">
      <c r="A9" s="5"/>
      <c r="B9" s="5">
        <v>4</v>
      </c>
      <c r="C9" s="79" t="s">
        <v>84</v>
      </c>
      <c r="D9" s="77"/>
      <c r="E9" s="77"/>
      <c r="F9" s="65"/>
      <c r="G9" s="13">
        <v>0</v>
      </c>
      <c r="H9" s="14" t="s">
        <v>30</v>
      </c>
      <c r="I9" s="13">
        <v>0</v>
      </c>
      <c r="J9" s="13"/>
      <c r="K9" s="15">
        <v>0</v>
      </c>
      <c r="L9" s="16">
        <v>0</v>
      </c>
      <c r="M9" s="17">
        <f t="shared" si="0"/>
        <v>0</v>
      </c>
      <c r="N9" s="18">
        <f t="shared" si="1"/>
        <v>0</v>
      </c>
      <c r="O9" s="19" t="e">
        <f t="shared" si="2"/>
        <v>#DIV/0!</v>
      </c>
      <c r="P9" s="5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6">
      <c r="A10" s="5"/>
      <c r="B10" s="5">
        <v>5</v>
      </c>
      <c r="C10" s="79" t="s">
        <v>85</v>
      </c>
      <c r="D10" s="77"/>
      <c r="E10" s="77"/>
      <c r="F10" s="65"/>
      <c r="G10" s="13">
        <v>0</v>
      </c>
      <c r="H10" s="14" t="s">
        <v>32</v>
      </c>
      <c r="I10" s="13">
        <v>0</v>
      </c>
      <c r="J10" s="13"/>
      <c r="K10" s="15">
        <v>0</v>
      </c>
      <c r="L10" s="16">
        <v>0</v>
      </c>
      <c r="M10" s="17">
        <f t="shared" si="0"/>
        <v>0</v>
      </c>
      <c r="N10" s="18">
        <f t="shared" si="1"/>
        <v>0</v>
      </c>
      <c r="O10" s="19" t="e">
        <f t="shared" si="2"/>
        <v>#DIV/0!</v>
      </c>
      <c r="P10" s="5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6">
      <c r="A11" s="5"/>
      <c r="B11" s="5">
        <v>6</v>
      </c>
      <c r="C11" s="79" t="s">
        <v>86</v>
      </c>
      <c r="D11" s="77"/>
      <c r="E11" s="77"/>
      <c r="F11" s="65"/>
      <c r="G11" s="13">
        <v>0</v>
      </c>
      <c r="H11" s="14" t="s">
        <v>34</v>
      </c>
      <c r="I11" s="13">
        <v>0</v>
      </c>
      <c r="J11" s="13"/>
      <c r="K11" s="15">
        <v>0</v>
      </c>
      <c r="L11" s="16">
        <v>0</v>
      </c>
      <c r="M11" s="17">
        <f t="shared" si="0"/>
        <v>0</v>
      </c>
      <c r="N11" s="18">
        <f t="shared" si="1"/>
        <v>0</v>
      </c>
      <c r="O11" s="19" t="e">
        <f t="shared" si="2"/>
        <v>#DIV/0!</v>
      </c>
      <c r="P11" s="5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6">
      <c r="A12" s="5"/>
      <c r="B12" s="69" t="s">
        <v>35</v>
      </c>
      <c r="C12" s="84"/>
      <c r="D12" s="70"/>
      <c r="E12" s="83" t="s">
        <v>36</v>
      </c>
      <c r="F12" s="65"/>
      <c r="G12" s="81">
        <v>3910000</v>
      </c>
      <c r="H12" s="77"/>
      <c r="I12" s="65"/>
      <c r="J12" s="80" t="s">
        <v>37</v>
      </c>
      <c r="K12" s="65"/>
      <c r="L12" s="81">
        <v>0</v>
      </c>
      <c r="M12" s="77"/>
      <c r="N12" s="65"/>
      <c r="O12" s="82" t="s">
        <v>38</v>
      </c>
      <c r="P12" s="5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6">
      <c r="A13" s="5"/>
      <c r="B13" s="71"/>
      <c r="C13" s="85"/>
      <c r="D13" s="72"/>
      <c r="E13" s="83" t="s">
        <v>39</v>
      </c>
      <c r="F13" s="65"/>
      <c r="G13" s="81">
        <f>G12*15/100</f>
        <v>586500</v>
      </c>
      <c r="H13" s="77"/>
      <c r="I13" s="65"/>
      <c r="J13" s="80" t="s">
        <v>40</v>
      </c>
      <c r="K13" s="65"/>
      <c r="L13" s="81">
        <v>0</v>
      </c>
      <c r="M13" s="77"/>
      <c r="N13" s="65"/>
      <c r="O13" s="62"/>
      <c r="P13" s="5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6">
      <c r="A14" s="5"/>
      <c r="B14" s="71"/>
      <c r="C14" s="85"/>
      <c r="D14" s="72"/>
      <c r="E14" s="75" t="s">
        <v>41</v>
      </c>
      <c r="F14" s="65"/>
      <c r="G14" s="76">
        <f>G12+G13</f>
        <v>4496500</v>
      </c>
      <c r="H14" s="77"/>
      <c r="I14" s="65"/>
      <c r="J14" s="78" t="s">
        <v>42</v>
      </c>
      <c r="K14" s="65"/>
      <c r="L14" s="76">
        <f>G14-(L12+L13)</f>
        <v>4496500</v>
      </c>
      <c r="M14" s="77"/>
      <c r="N14" s="65"/>
      <c r="O14" s="63" t="e">
        <f>AVERAGE(O6:O8)</f>
        <v>#DIV/0!</v>
      </c>
      <c r="P14" s="5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6">
      <c r="A15" s="5"/>
      <c r="B15" s="73"/>
      <c r="C15" s="86"/>
      <c r="D15" s="74"/>
      <c r="E15" s="64" t="s">
        <v>43</v>
      </c>
      <c r="F15" s="65"/>
      <c r="G15" s="6" t="s">
        <v>8</v>
      </c>
      <c r="H15" s="66" t="s">
        <v>44</v>
      </c>
      <c r="I15" s="65"/>
      <c r="J15" s="20">
        <v>0.2</v>
      </c>
      <c r="K15" s="64" t="s">
        <v>45</v>
      </c>
      <c r="L15" s="65"/>
      <c r="M15" s="68">
        <v>0.2</v>
      </c>
      <c r="N15" s="65"/>
      <c r="O15" s="62"/>
      <c r="P15" s="5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/>
      <c r="N16" s="6"/>
      <c r="O16" s="5"/>
      <c r="P16" s="5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6">
      <c r="A17" s="69" t="s">
        <v>46</v>
      </c>
      <c r="B17" s="70"/>
      <c r="C17" s="5" t="s">
        <v>47</v>
      </c>
      <c r="D17" s="5">
        <v>1</v>
      </c>
      <c r="E17" s="5">
        <v>2</v>
      </c>
      <c r="F17" s="5">
        <v>3</v>
      </c>
      <c r="G17" s="5">
        <v>4</v>
      </c>
      <c r="H17" s="5">
        <v>5</v>
      </c>
      <c r="I17" s="5">
        <v>6</v>
      </c>
      <c r="J17" s="5">
        <v>7</v>
      </c>
      <c r="K17" s="5">
        <v>8</v>
      </c>
      <c r="L17" s="5">
        <v>9</v>
      </c>
      <c r="M17" s="5">
        <v>10</v>
      </c>
      <c r="N17" s="60" t="s">
        <v>48</v>
      </c>
      <c r="O17" s="60" t="s">
        <v>49</v>
      </c>
      <c r="P17" s="60" t="s">
        <v>50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6">
      <c r="A18" s="71"/>
      <c r="B18" s="72"/>
      <c r="C18" s="5" t="s">
        <v>51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61"/>
      <c r="O18" s="61"/>
      <c r="P18" s="61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6">
      <c r="A19" s="71"/>
      <c r="B19" s="72"/>
      <c r="C19" s="5" t="s">
        <v>52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62"/>
      <c r="O19" s="62"/>
      <c r="P19" s="6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6">
      <c r="A20" s="71"/>
      <c r="B20" s="72"/>
      <c r="C20" s="5" t="s">
        <v>53</v>
      </c>
      <c r="D20" s="22"/>
      <c r="E20" s="7"/>
      <c r="F20" s="5"/>
      <c r="G20" s="5"/>
      <c r="H20" s="23"/>
      <c r="I20" s="5"/>
      <c r="J20" s="5"/>
      <c r="K20" s="5"/>
      <c r="L20" s="5"/>
      <c r="M20" s="5"/>
      <c r="N20" s="67"/>
      <c r="O20" s="60"/>
      <c r="P20" s="60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6">
      <c r="A21" s="73"/>
      <c r="B21" s="74"/>
      <c r="C21" s="5" t="s">
        <v>54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62"/>
      <c r="O21" s="62"/>
      <c r="P21" s="6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6">
      <c r="A25" s="2"/>
      <c r="B25" s="2"/>
      <c r="C25" s="2"/>
      <c r="D25" s="2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6">
      <c r="A26" s="2"/>
      <c r="B26" s="2"/>
      <c r="C26" s="2"/>
      <c r="D26" s="2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6">
      <c r="A27" s="2"/>
      <c r="B27" s="2"/>
      <c r="C27" s="2"/>
      <c r="D27" s="24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6">
      <c r="A28" s="2"/>
      <c r="B28" s="2"/>
      <c r="C28" s="2"/>
      <c r="D28" s="24"/>
      <c r="E28" s="2"/>
      <c r="F28" s="2"/>
      <c r="G28" s="2"/>
      <c r="H28" s="2"/>
      <c r="I28" s="2"/>
      <c r="J28" s="2"/>
      <c r="K28" s="2"/>
      <c r="L28" s="2"/>
      <c r="M28" s="2"/>
      <c r="N28" s="63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6">
      <c r="A29" s="2"/>
      <c r="B29" s="2"/>
      <c r="C29" s="2"/>
      <c r="D29" s="24"/>
      <c r="E29" s="2"/>
      <c r="F29" s="2"/>
      <c r="G29" s="2"/>
      <c r="H29" s="2"/>
      <c r="I29" s="2"/>
      <c r="J29" s="2"/>
      <c r="K29" s="2"/>
      <c r="L29" s="2"/>
      <c r="M29" s="2"/>
      <c r="N29" s="6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6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6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6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6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mergeCells count="38">
    <mergeCell ref="A2:B2"/>
    <mergeCell ref="C2:F2"/>
    <mergeCell ref="A3:B3"/>
    <mergeCell ref="C3:F3"/>
    <mergeCell ref="C5:F5"/>
    <mergeCell ref="C6:F6"/>
    <mergeCell ref="C7:F7"/>
    <mergeCell ref="J12:K12"/>
    <mergeCell ref="L12:N12"/>
    <mergeCell ref="O12:O13"/>
    <mergeCell ref="J13:K13"/>
    <mergeCell ref="L13:N13"/>
    <mergeCell ref="E13:F13"/>
    <mergeCell ref="G13:I13"/>
    <mergeCell ref="C8:F8"/>
    <mergeCell ref="C9:F9"/>
    <mergeCell ref="C10:F10"/>
    <mergeCell ref="C11:F11"/>
    <mergeCell ref="B12:D15"/>
    <mergeCell ref="E12:F12"/>
    <mergeCell ref="G12:I12"/>
    <mergeCell ref="A17:B21"/>
    <mergeCell ref="E14:F14"/>
    <mergeCell ref="G14:I14"/>
    <mergeCell ref="J14:K14"/>
    <mergeCell ref="L14:N14"/>
    <mergeCell ref="N28:N29"/>
    <mergeCell ref="K15:L15"/>
    <mergeCell ref="M15:N15"/>
    <mergeCell ref="N17:N19"/>
    <mergeCell ref="O17:O19"/>
    <mergeCell ref="P17:P19"/>
    <mergeCell ref="O20:O21"/>
    <mergeCell ref="P20:P21"/>
    <mergeCell ref="O14:O15"/>
    <mergeCell ref="E15:F15"/>
    <mergeCell ref="H15:I15"/>
    <mergeCell ref="N20:N2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236"/>
  <sheetViews>
    <sheetView rightToLeft="1" workbookViewId="0">
      <selection sqref="A1:F2"/>
    </sheetView>
  </sheetViews>
  <sheetFormatPr baseColWidth="10" defaultColWidth="11.1640625" defaultRowHeight="15" customHeight="1" x14ac:dyDescent="0.2"/>
  <cols>
    <col min="1" max="1" width="21.6640625" customWidth="1"/>
    <col min="2" max="2" width="23.6640625" customWidth="1"/>
    <col min="3" max="3" width="23.5" customWidth="1"/>
    <col min="4" max="5" width="13" customWidth="1"/>
    <col min="6" max="6" width="34.33203125" customWidth="1"/>
    <col min="7" max="7" width="13.5" customWidth="1"/>
    <col min="8" max="26" width="6.5" customWidth="1"/>
  </cols>
  <sheetData>
    <row r="1" spans="1:26" ht="15.75" customHeight="1" x14ac:dyDescent="0.6">
      <c r="A1" s="90" t="s">
        <v>55</v>
      </c>
      <c r="B1" s="84"/>
      <c r="C1" s="84"/>
      <c r="D1" s="84"/>
      <c r="E1" s="84"/>
      <c r="F1" s="70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5.75" customHeight="1" x14ac:dyDescent="0.6">
      <c r="A2" s="73"/>
      <c r="B2" s="86"/>
      <c r="C2" s="86"/>
      <c r="D2" s="86"/>
      <c r="E2" s="86"/>
      <c r="F2" s="7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31.5" customHeight="1" x14ac:dyDescent="0.6">
      <c r="A3" s="26" t="s">
        <v>56</v>
      </c>
      <c r="B3" s="26" t="s">
        <v>57</v>
      </c>
      <c r="C3" s="26" t="s">
        <v>58</v>
      </c>
      <c r="D3" s="26" t="s">
        <v>59</v>
      </c>
      <c r="E3" s="26" t="s">
        <v>54</v>
      </c>
      <c r="F3" s="26" t="s">
        <v>60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5.75" customHeight="1" x14ac:dyDescent="0.6">
      <c r="A4" s="27"/>
      <c r="B4" s="27"/>
      <c r="C4" s="28"/>
      <c r="D4" s="27"/>
      <c r="E4" s="27"/>
      <c r="F4" s="27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15.75" customHeight="1" x14ac:dyDescent="0.6">
      <c r="A5" s="27"/>
      <c r="B5" s="27"/>
      <c r="C5" s="27"/>
      <c r="D5" s="27"/>
      <c r="E5" s="27"/>
      <c r="F5" s="27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15.75" customHeight="1" x14ac:dyDescent="0.6">
      <c r="A6" s="27"/>
      <c r="B6" s="27"/>
      <c r="C6" s="27"/>
      <c r="D6" s="27"/>
      <c r="E6" s="27"/>
      <c r="F6" s="27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5.75" customHeight="1" x14ac:dyDescent="0.6">
      <c r="A7" s="27"/>
      <c r="B7" s="27"/>
      <c r="C7" s="27"/>
      <c r="D7" s="27"/>
      <c r="E7" s="27"/>
      <c r="F7" s="27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5.75" customHeight="1" x14ac:dyDescent="0.6">
      <c r="A8" s="27"/>
      <c r="B8" s="27"/>
      <c r="C8" s="29"/>
      <c r="D8" s="27"/>
      <c r="E8" s="27"/>
      <c r="F8" s="27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5.75" customHeight="1" x14ac:dyDescent="0.6">
      <c r="A9" s="27"/>
      <c r="B9" s="27"/>
      <c r="C9" s="27"/>
      <c r="D9" s="27"/>
      <c r="E9" s="27"/>
      <c r="F9" s="27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15.75" customHeight="1" x14ac:dyDescent="0.6">
      <c r="A10" s="27"/>
      <c r="B10" s="27"/>
      <c r="C10" s="27"/>
      <c r="D10" s="27"/>
      <c r="E10" s="27"/>
      <c r="F10" s="27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15.75" customHeight="1" x14ac:dyDescent="0.6">
      <c r="A11" s="27"/>
      <c r="B11" s="27"/>
      <c r="C11" s="27"/>
      <c r="D11" s="27"/>
      <c r="E11" s="27"/>
      <c r="F11" s="27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5.75" customHeight="1" x14ac:dyDescent="0.6">
      <c r="A12" s="27"/>
      <c r="B12" s="27"/>
      <c r="C12" s="27"/>
      <c r="D12" s="27"/>
      <c r="E12" s="27"/>
      <c r="F12" s="27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5.75" customHeight="1" x14ac:dyDescent="0.6">
      <c r="A13" s="27"/>
      <c r="B13" s="27"/>
      <c r="C13" s="27"/>
      <c r="D13" s="27"/>
      <c r="E13" s="27"/>
      <c r="F13" s="27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5.75" customHeight="1" x14ac:dyDescent="0.6">
      <c r="A14" s="27"/>
      <c r="B14" s="27"/>
      <c r="C14" s="27"/>
      <c r="D14" s="27"/>
      <c r="E14" s="27"/>
      <c r="F14" s="27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5.75" customHeight="1" x14ac:dyDescent="0.6">
      <c r="A15" s="27"/>
      <c r="B15" s="27"/>
      <c r="C15" s="27"/>
      <c r="D15" s="27"/>
      <c r="E15" s="27"/>
      <c r="F15" s="27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5.75" customHeight="1" x14ac:dyDescent="0.6">
      <c r="A16" s="27"/>
      <c r="B16" s="27"/>
      <c r="C16" s="27"/>
      <c r="D16" s="27"/>
      <c r="E16" s="27"/>
      <c r="F16" s="27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5.75" customHeight="1" x14ac:dyDescent="0.6">
      <c r="A17" s="27"/>
      <c r="B17" s="27"/>
      <c r="C17" s="27"/>
      <c r="D17" s="27"/>
      <c r="E17" s="27"/>
      <c r="F17" s="27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5.75" customHeight="1" x14ac:dyDescent="0.6">
      <c r="A18" s="27"/>
      <c r="B18" s="27"/>
      <c r="C18" s="27"/>
      <c r="D18" s="27"/>
      <c r="E18" s="27"/>
      <c r="F18" s="27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5.75" customHeight="1" x14ac:dyDescent="0.6">
      <c r="A19" s="27"/>
      <c r="B19" s="27"/>
      <c r="C19" s="27"/>
      <c r="D19" s="27"/>
      <c r="E19" s="27"/>
      <c r="F19" s="27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5.75" customHeight="1" x14ac:dyDescent="0.6">
      <c r="A20" s="27"/>
      <c r="B20" s="27"/>
      <c r="C20" s="27"/>
      <c r="D20" s="27"/>
      <c r="E20" s="27"/>
      <c r="F20" s="27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5.75" customHeight="1" x14ac:dyDescent="0.6">
      <c r="A21" s="27"/>
      <c r="B21" s="27"/>
      <c r="C21" s="27"/>
      <c r="D21" s="27"/>
      <c r="E21" s="27"/>
      <c r="F21" s="27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5.75" customHeight="1" x14ac:dyDescent="0.6">
      <c r="A22" s="27"/>
      <c r="B22" s="27"/>
      <c r="C22" s="27"/>
      <c r="D22" s="27"/>
      <c r="E22" s="27"/>
      <c r="F22" s="27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5.75" customHeight="1" x14ac:dyDescent="0.6">
      <c r="A23" s="27"/>
      <c r="B23" s="27"/>
      <c r="C23" s="27"/>
      <c r="D23" s="27"/>
      <c r="E23" s="27"/>
      <c r="F23" s="27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5.75" customHeight="1" x14ac:dyDescent="0.6">
      <c r="A24" s="27"/>
      <c r="B24" s="27"/>
      <c r="C24" s="27"/>
      <c r="D24" s="27"/>
      <c r="E24" s="27"/>
      <c r="F24" s="27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5.75" customHeight="1" x14ac:dyDescent="0.6">
      <c r="A25" s="27"/>
      <c r="B25" s="27"/>
      <c r="C25" s="27"/>
      <c r="D25" s="27"/>
      <c r="E25" s="27"/>
      <c r="F25" s="27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customHeight="1" x14ac:dyDescent="0.6">
      <c r="A26" s="27"/>
      <c r="B26" s="27"/>
      <c r="C26" s="27"/>
      <c r="D26" s="27"/>
      <c r="E26" s="27"/>
      <c r="F26" s="27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customHeight="1" x14ac:dyDescent="0.6">
      <c r="A27" s="27"/>
      <c r="B27" s="27"/>
      <c r="C27" s="27"/>
      <c r="D27" s="27"/>
      <c r="E27" s="27"/>
      <c r="F27" s="27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.75" customHeight="1" x14ac:dyDescent="0.6">
      <c r="A28" s="27"/>
      <c r="B28" s="27"/>
      <c r="C28" s="27"/>
      <c r="D28" s="27"/>
      <c r="E28" s="27"/>
      <c r="F28" s="27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.75" customHeight="1" x14ac:dyDescent="0.6">
      <c r="A29" s="27"/>
      <c r="B29" s="27"/>
      <c r="C29" s="27"/>
      <c r="D29" s="27"/>
      <c r="E29" s="27"/>
      <c r="F29" s="27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.75" customHeight="1" x14ac:dyDescent="0.6">
      <c r="A30" s="30"/>
      <c r="B30" s="30"/>
      <c r="C30" s="30"/>
      <c r="D30" s="27"/>
      <c r="E30" s="27"/>
      <c r="F30" s="27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.75" customHeight="1" x14ac:dyDescent="0.6">
      <c r="A31" s="27"/>
      <c r="B31" s="27"/>
      <c r="C31" s="27"/>
      <c r="D31" s="27"/>
      <c r="E31" s="27"/>
      <c r="F31" s="27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.75" customHeight="1" x14ac:dyDescent="0.6">
      <c r="A32" s="27"/>
      <c r="B32" s="27"/>
      <c r="C32" s="27"/>
      <c r="D32" s="27"/>
      <c r="E32" s="27"/>
      <c r="F32" s="31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.75" customHeight="1" x14ac:dyDescent="0.6">
      <c r="A33" s="27"/>
      <c r="B33" s="27"/>
      <c r="C33" s="27"/>
      <c r="D33" s="27"/>
      <c r="E33" s="27"/>
      <c r="F33" s="31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.75" customHeight="1" x14ac:dyDescent="0.6">
      <c r="A34" s="27"/>
      <c r="B34" s="27"/>
      <c r="C34" s="29"/>
      <c r="D34" s="27"/>
      <c r="E34" s="27"/>
      <c r="F34" s="31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.75" customHeight="1" x14ac:dyDescent="0.6">
      <c r="A35" s="27"/>
      <c r="B35" s="27"/>
      <c r="C35" s="27"/>
      <c r="D35" s="27"/>
      <c r="E35" s="27"/>
      <c r="F35" s="31"/>
      <c r="G35" s="32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.75" customHeight="1" x14ac:dyDescent="0.6">
      <c r="A36" s="27"/>
      <c r="B36" s="27"/>
      <c r="C36" s="27"/>
      <c r="D36" s="27"/>
      <c r="E36" s="27"/>
      <c r="F36" s="27"/>
      <c r="G36" s="32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.75" customHeight="1" x14ac:dyDescent="0.6">
      <c r="A37" s="27"/>
      <c r="B37" s="27"/>
      <c r="C37" s="27"/>
      <c r="D37" s="27"/>
      <c r="E37" s="27"/>
      <c r="F37" s="27"/>
      <c r="G37" s="32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27.75" customHeight="1" x14ac:dyDescent="0.6">
      <c r="A38" s="91" t="s">
        <v>61</v>
      </c>
      <c r="B38" s="77"/>
      <c r="C38" s="77"/>
      <c r="D38" s="65"/>
      <c r="E38" s="33"/>
      <c r="F38" s="34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.75" customHeight="1" x14ac:dyDescent="0.6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.75" customHeight="1" x14ac:dyDescent="0.6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.75" customHeight="1" x14ac:dyDescent="0.6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.75" customHeight="1" x14ac:dyDescent="0.6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.75" customHeight="1" x14ac:dyDescent="0.6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.75" customHeight="1" x14ac:dyDescent="0.6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.75" customHeight="1" x14ac:dyDescent="0.6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.75" customHeight="1" x14ac:dyDescent="0.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.75" customHeight="1" x14ac:dyDescent="0.6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.75" customHeight="1" x14ac:dyDescent="0.6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.75" customHeight="1" x14ac:dyDescent="0.6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.75" customHeight="1" x14ac:dyDescent="0.6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.75" customHeight="1" x14ac:dyDescent="0.6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.75" customHeight="1" x14ac:dyDescent="0.6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.75" customHeight="1" x14ac:dyDescent="0.6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.75" customHeight="1" x14ac:dyDescent="0.6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.75" customHeight="1" x14ac:dyDescent="0.6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.75" customHeight="1" x14ac:dyDescent="0.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.75" customHeight="1" x14ac:dyDescent="0.6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.75" customHeight="1" x14ac:dyDescent="0.6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.75" customHeight="1" x14ac:dyDescent="0.6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.75" customHeight="1" x14ac:dyDescent="0.6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.75" customHeight="1" x14ac:dyDescent="0.6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.75" customHeight="1" x14ac:dyDescent="0.6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.75" customHeight="1" x14ac:dyDescent="0.6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.75" customHeight="1" x14ac:dyDescent="0.6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.75" customHeight="1" x14ac:dyDescent="0.6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.75" customHeight="1" x14ac:dyDescent="0.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.75" customHeight="1" x14ac:dyDescent="0.6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.75" customHeight="1" x14ac:dyDescent="0.6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.75" customHeight="1" x14ac:dyDescent="0.6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.75" customHeight="1" x14ac:dyDescent="0.6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.75" customHeight="1" x14ac:dyDescent="0.6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.75" customHeight="1" x14ac:dyDescent="0.6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.75" customHeight="1" x14ac:dyDescent="0.6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.75" customHeight="1" x14ac:dyDescent="0.6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.75" customHeight="1" x14ac:dyDescent="0.6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.75" customHeight="1" x14ac:dyDescent="0.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.75" customHeight="1" x14ac:dyDescent="0.6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.75" customHeight="1" x14ac:dyDescent="0.6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.75" customHeight="1" x14ac:dyDescent="0.6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.75" customHeight="1" x14ac:dyDescent="0.6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.75" customHeight="1" x14ac:dyDescent="0.6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.75" customHeight="1" x14ac:dyDescent="0.6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.75" customHeight="1" x14ac:dyDescent="0.6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.75" customHeight="1" x14ac:dyDescent="0.6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.75" customHeight="1" x14ac:dyDescent="0.6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.75" customHeight="1" x14ac:dyDescent="0.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.75" customHeight="1" x14ac:dyDescent="0.6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.75" customHeight="1" x14ac:dyDescent="0.6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.75" customHeight="1" x14ac:dyDescent="0.6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.75" customHeight="1" x14ac:dyDescent="0.6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.75" customHeight="1" x14ac:dyDescent="0.6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.75" customHeight="1" x14ac:dyDescent="0.6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.75" customHeight="1" x14ac:dyDescent="0.6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.75" customHeight="1" x14ac:dyDescent="0.6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.75" customHeight="1" x14ac:dyDescent="0.6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.75" customHeight="1" x14ac:dyDescent="0.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5.75" customHeight="1" x14ac:dyDescent="0.6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5.75" customHeight="1" x14ac:dyDescent="0.6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5.75" customHeight="1" x14ac:dyDescent="0.6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5.75" customHeight="1" x14ac:dyDescent="0.6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5.75" customHeight="1" x14ac:dyDescent="0.6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5.75" customHeight="1" x14ac:dyDescent="0.6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5.75" customHeight="1" x14ac:dyDescent="0.6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5.75" customHeight="1" x14ac:dyDescent="0.6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5.75" customHeight="1" x14ac:dyDescent="0.6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5.75" customHeight="1" x14ac:dyDescent="0.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5.75" customHeight="1" x14ac:dyDescent="0.6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5.75" customHeight="1" x14ac:dyDescent="0.6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5.75" customHeight="1" x14ac:dyDescent="0.6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5.75" customHeight="1" x14ac:dyDescent="0.6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5.75" customHeight="1" x14ac:dyDescent="0.6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5.75" customHeight="1" x14ac:dyDescent="0.6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5.75" customHeight="1" x14ac:dyDescent="0.6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5.75" customHeight="1" x14ac:dyDescent="0.6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5.75" customHeight="1" x14ac:dyDescent="0.6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5.75" customHeight="1" x14ac:dyDescent="0.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5.75" customHeight="1" x14ac:dyDescent="0.6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5.75" customHeight="1" x14ac:dyDescent="0.6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5.75" customHeight="1" x14ac:dyDescent="0.6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5.75" customHeight="1" x14ac:dyDescent="0.6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5.75" customHeight="1" x14ac:dyDescent="0.6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5.75" customHeight="1" x14ac:dyDescent="0.6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5.75" customHeight="1" x14ac:dyDescent="0.6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5.75" customHeight="1" x14ac:dyDescent="0.6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5.75" customHeight="1" x14ac:dyDescent="0.6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5.75" customHeight="1" x14ac:dyDescent="0.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5.75" customHeight="1" x14ac:dyDescent="0.6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5.75" customHeight="1" x14ac:dyDescent="0.6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5.75" customHeight="1" x14ac:dyDescent="0.6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5.75" customHeight="1" x14ac:dyDescent="0.6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5.75" customHeight="1" x14ac:dyDescent="0.6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5.75" customHeight="1" x14ac:dyDescent="0.6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5.75" customHeight="1" x14ac:dyDescent="0.6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5.75" customHeight="1" x14ac:dyDescent="0.6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15.75" customHeight="1" x14ac:dyDescent="0.6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5.75" customHeight="1" x14ac:dyDescent="0.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5.75" customHeight="1" x14ac:dyDescent="0.6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5.75" customHeight="1" x14ac:dyDescent="0.6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5.75" customHeight="1" x14ac:dyDescent="0.6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5.75" customHeight="1" x14ac:dyDescent="0.6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5.75" customHeight="1" x14ac:dyDescent="0.6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5.75" customHeight="1" x14ac:dyDescent="0.6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5.75" customHeight="1" x14ac:dyDescent="0.6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5.75" customHeight="1" x14ac:dyDescent="0.6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5.75" customHeight="1" x14ac:dyDescent="0.6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5.75" customHeight="1" x14ac:dyDescent="0.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5.75" customHeight="1" x14ac:dyDescent="0.6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5.75" customHeight="1" x14ac:dyDescent="0.6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5.75" customHeight="1" x14ac:dyDescent="0.6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5.75" customHeight="1" x14ac:dyDescent="0.6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5.75" customHeight="1" x14ac:dyDescent="0.6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5.75" customHeight="1" x14ac:dyDescent="0.6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5.75" customHeight="1" x14ac:dyDescent="0.6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5.75" customHeight="1" x14ac:dyDescent="0.6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5.75" customHeight="1" x14ac:dyDescent="0.6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5.75" customHeight="1" x14ac:dyDescent="0.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5.75" customHeight="1" x14ac:dyDescent="0.6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5.75" customHeight="1" x14ac:dyDescent="0.6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5.75" customHeight="1" x14ac:dyDescent="0.6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5.75" customHeight="1" x14ac:dyDescent="0.6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5.75" customHeight="1" x14ac:dyDescent="0.6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5.75" customHeight="1" x14ac:dyDescent="0.6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5.75" customHeight="1" x14ac:dyDescent="0.6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5.75" customHeight="1" x14ac:dyDescent="0.6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5.75" customHeight="1" x14ac:dyDescent="0.6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5.75" customHeight="1" x14ac:dyDescent="0.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5.75" customHeight="1" x14ac:dyDescent="0.6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5.75" customHeight="1" x14ac:dyDescent="0.6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5.75" customHeight="1" x14ac:dyDescent="0.6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5.75" customHeight="1" x14ac:dyDescent="0.6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5.75" customHeight="1" x14ac:dyDescent="0.6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5.75" customHeight="1" x14ac:dyDescent="0.6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5.75" customHeight="1" x14ac:dyDescent="0.6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5.75" customHeight="1" x14ac:dyDescent="0.6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5.75" customHeight="1" x14ac:dyDescent="0.6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5.75" customHeight="1" x14ac:dyDescent="0.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5.75" customHeight="1" x14ac:dyDescent="0.6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5.75" customHeight="1" x14ac:dyDescent="0.6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5.75" customHeight="1" x14ac:dyDescent="0.6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5.75" customHeight="1" x14ac:dyDescent="0.6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5.75" customHeight="1" x14ac:dyDescent="0.6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5.75" customHeight="1" x14ac:dyDescent="0.6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5.75" customHeight="1" x14ac:dyDescent="0.6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5.75" customHeight="1" x14ac:dyDescent="0.6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5.75" customHeight="1" x14ac:dyDescent="0.6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5.75" customHeight="1" x14ac:dyDescent="0.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5.75" customHeight="1" x14ac:dyDescent="0.6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5.75" customHeight="1" x14ac:dyDescent="0.6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5.75" customHeight="1" x14ac:dyDescent="0.6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5.75" customHeight="1" x14ac:dyDescent="0.6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5.75" customHeight="1" x14ac:dyDescent="0.6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5.75" customHeight="1" x14ac:dyDescent="0.6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5.75" customHeight="1" x14ac:dyDescent="0.6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5.75" customHeight="1" x14ac:dyDescent="0.6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5.75" customHeight="1" x14ac:dyDescent="0.6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5.75" customHeight="1" x14ac:dyDescent="0.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5.75" customHeight="1" x14ac:dyDescent="0.6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5.75" customHeight="1" x14ac:dyDescent="0.6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5.75" customHeight="1" x14ac:dyDescent="0.6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5.75" customHeight="1" x14ac:dyDescent="0.6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5.75" customHeight="1" x14ac:dyDescent="0.6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5.75" customHeight="1" x14ac:dyDescent="0.6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5.75" customHeight="1" x14ac:dyDescent="0.6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5.75" customHeight="1" x14ac:dyDescent="0.6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5.75" customHeight="1" x14ac:dyDescent="0.6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5.75" customHeight="1" x14ac:dyDescent="0.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5.75" customHeight="1" x14ac:dyDescent="0.6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5.75" customHeight="1" x14ac:dyDescent="0.6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5.75" customHeight="1" x14ac:dyDescent="0.6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5.75" customHeight="1" x14ac:dyDescent="0.6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5.75" customHeight="1" x14ac:dyDescent="0.6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5.75" customHeight="1" x14ac:dyDescent="0.6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5.75" customHeight="1" x14ac:dyDescent="0.6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5.75" customHeight="1" x14ac:dyDescent="0.6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5.75" customHeight="1" x14ac:dyDescent="0.6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5.75" customHeight="1" x14ac:dyDescent="0.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5.75" customHeight="1" x14ac:dyDescent="0.6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5.75" customHeight="1" x14ac:dyDescent="0.6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5.75" customHeight="1" x14ac:dyDescent="0.6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5.75" customHeight="1" x14ac:dyDescent="0.6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5.75" customHeight="1" x14ac:dyDescent="0.6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5.75" customHeight="1" x14ac:dyDescent="0.6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15.75" customHeight="1" x14ac:dyDescent="0.6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15.75" customHeight="1" x14ac:dyDescent="0.6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5.75" customHeight="1" x14ac:dyDescent="0.6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15.75" customHeight="1" x14ac:dyDescent="0.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15.75" customHeight="1" x14ac:dyDescent="0.6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15.75" customHeight="1" x14ac:dyDescent="0.6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15.75" customHeight="1" x14ac:dyDescent="0.6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15.75" customHeight="1" x14ac:dyDescent="0.6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15.75" customHeight="1" x14ac:dyDescent="0.6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15.75" customHeight="1" x14ac:dyDescent="0.6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15.75" customHeight="1" x14ac:dyDescent="0.6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15.75" customHeight="1" x14ac:dyDescent="0.6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15.75" customHeight="1" x14ac:dyDescent="0.6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15.75" customHeight="1" x14ac:dyDescent="0.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15.75" customHeight="1" x14ac:dyDescent="0.6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15.75" customHeight="1" x14ac:dyDescent="0.6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15.75" customHeight="1" x14ac:dyDescent="0.6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15.75" customHeight="1" x14ac:dyDescent="0.6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15.75" customHeight="1" x14ac:dyDescent="0.6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15.75" customHeight="1" x14ac:dyDescent="0.6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15.75" customHeight="1" x14ac:dyDescent="0.6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15.75" customHeight="1" x14ac:dyDescent="0.6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15.75" customHeight="1" x14ac:dyDescent="0.6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15.75" customHeight="1" x14ac:dyDescent="0.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15.75" customHeight="1" x14ac:dyDescent="0.6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15.75" customHeight="1" x14ac:dyDescent="0.6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15.75" customHeight="1" x14ac:dyDescent="0.6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15.75" customHeight="1" x14ac:dyDescent="0.6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15.75" customHeight="1" x14ac:dyDescent="0.6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15.75" customHeight="1" x14ac:dyDescent="0.6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15.75" customHeight="1" x14ac:dyDescent="0.6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15.75" customHeight="1" x14ac:dyDescent="0.6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15.75" customHeight="1" x14ac:dyDescent="0.6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5.75" customHeight="1" x14ac:dyDescent="0.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15.75" customHeight="1" x14ac:dyDescent="0.6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15.75" customHeight="1" x14ac:dyDescent="0.6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15.75" customHeight="1" x14ac:dyDescent="0.6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15.75" customHeight="1" x14ac:dyDescent="0.6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15.75" customHeight="1" x14ac:dyDescent="0.6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15.75" customHeight="1" x14ac:dyDescent="0.6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15.75" customHeight="1" x14ac:dyDescent="0.6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15.75" customHeight="1" x14ac:dyDescent="0.6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15.75" customHeight="1" x14ac:dyDescent="0.6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15.75" customHeight="1" x14ac:dyDescent="0.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15.75" customHeight="1" x14ac:dyDescent="0.6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15.75" customHeight="1" x14ac:dyDescent="0.6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15.75" customHeight="1" x14ac:dyDescent="0.6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15.75" customHeight="1" x14ac:dyDescent="0.6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15.75" customHeight="1" x14ac:dyDescent="0.6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15.75" customHeight="1" x14ac:dyDescent="0.6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15.75" customHeight="1" x14ac:dyDescent="0.6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15.75" customHeight="1" x14ac:dyDescent="0.6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15.75" customHeight="1" x14ac:dyDescent="0.6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15.75" customHeight="1" x14ac:dyDescent="0.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15.75" customHeight="1" x14ac:dyDescent="0.6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15.75" customHeight="1" x14ac:dyDescent="0.6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15.75" customHeight="1" x14ac:dyDescent="0.6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15.75" customHeight="1" x14ac:dyDescent="0.6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15.75" customHeight="1" x14ac:dyDescent="0.6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15.75" customHeight="1" x14ac:dyDescent="0.6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5.75" customHeight="1" x14ac:dyDescent="0.6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5.75" customHeight="1" x14ac:dyDescent="0.6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15.75" customHeight="1" x14ac:dyDescent="0.6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15.75" customHeight="1" x14ac:dyDescent="0.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15.75" customHeight="1" x14ac:dyDescent="0.6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15.75" customHeight="1" x14ac:dyDescent="0.6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15.75" customHeight="1" x14ac:dyDescent="0.6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15.75" customHeight="1" x14ac:dyDescent="0.6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15.75" customHeight="1" x14ac:dyDescent="0.6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15.75" customHeight="1" x14ac:dyDescent="0.6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15.75" customHeight="1" x14ac:dyDescent="0.6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15.75" customHeight="1" x14ac:dyDescent="0.6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15.75" customHeight="1" x14ac:dyDescent="0.6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15.75" customHeight="1" x14ac:dyDescent="0.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15.75" customHeight="1" x14ac:dyDescent="0.6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15.75" customHeight="1" x14ac:dyDescent="0.6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15.75" customHeight="1" x14ac:dyDescent="0.6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15.75" customHeight="1" x14ac:dyDescent="0.6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15.75" customHeight="1" x14ac:dyDescent="0.6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15.75" customHeight="1" x14ac:dyDescent="0.6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15.75" customHeight="1" x14ac:dyDescent="0.6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15.75" customHeight="1" x14ac:dyDescent="0.6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15.75" customHeight="1" x14ac:dyDescent="0.6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15.75" customHeight="1" x14ac:dyDescent="0.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15.75" customHeight="1" x14ac:dyDescent="0.6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15.75" customHeight="1" x14ac:dyDescent="0.6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15.75" customHeight="1" x14ac:dyDescent="0.6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15.75" customHeight="1" x14ac:dyDescent="0.6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15.75" customHeight="1" x14ac:dyDescent="0.6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15.75" customHeight="1" x14ac:dyDescent="0.6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15.75" customHeight="1" x14ac:dyDescent="0.6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15.75" customHeight="1" x14ac:dyDescent="0.6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15.75" customHeight="1" x14ac:dyDescent="0.6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15.75" customHeight="1" x14ac:dyDescent="0.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15.75" customHeight="1" x14ac:dyDescent="0.6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15.75" customHeight="1" x14ac:dyDescent="0.6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15.75" customHeight="1" x14ac:dyDescent="0.6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15.75" customHeight="1" x14ac:dyDescent="0.6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15.75" customHeight="1" x14ac:dyDescent="0.6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15.75" customHeight="1" x14ac:dyDescent="0.6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15.75" customHeight="1" x14ac:dyDescent="0.6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15.75" customHeight="1" x14ac:dyDescent="0.6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15.75" customHeight="1" x14ac:dyDescent="0.6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15.75" customHeight="1" x14ac:dyDescent="0.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15.75" customHeight="1" x14ac:dyDescent="0.6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15.75" customHeight="1" x14ac:dyDescent="0.6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15.75" customHeight="1" x14ac:dyDescent="0.6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15.75" customHeight="1" x14ac:dyDescent="0.6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15.75" customHeight="1" x14ac:dyDescent="0.6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15.75" customHeight="1" x14ac:dyDescent="0.6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15.75" customHeight="1" x14ac:dyDescent="0.6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15.75" customHeight="1" x14ac:dyDescent="0.6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15.75" customHeight="1" x14ac:dyDescent="0.6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15.75" customHeight="1" x14ac:dyDescent="0.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15.75" customHeight="1" x14ac:dyDescent="0.6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15.75" customHeight="1" x14ac:dyDescent="0.6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15.75" customHeight="1" x14ac:dyDescent="0.6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15.75" customHeight="1" x14ac:dyDescent="0.6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15.75" customHeight="1" x14ac:dyDescent="0.6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15.75" customHeight="1" x14ac:dyDescent="0.6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15.75" customHeight="1" x14ac:dyDescent="0.6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15.75" customHeight="1" x14ac:dyDescent="0.6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15.75" customHeight="1" x14ac:dyDescent="0.6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15.75" customHeight="1" x14ac:dyDescent="0.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15.75" customHeight="1" x14ac:dyDescent="0.6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15.75" customHeight="1" x14ac:dyDescent="0.6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15.75" customHeight="1" x14ac:dyDescent="0.6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15.75" customHeight="1" x14ac:dyDescent="0.6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15.75" customHeight="1" x14ac:dyDescent="0.6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15.75" customHeight="1" x14ac:dyDescent="0.6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15.75" customHeight="1" x14ac:dyDescent="0.6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15.75" customHeight="1" x14ac:dyDescent="0.6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15.75" customHeight="1" x14ac:dyDescent="0.6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15.75" customHeight="1" x14ac:dyDescent="0.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15.75" customHeight="1" x14ac:dyDescent="0.6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15.75" customHeight="1" x14ac:dyDescent="0.6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15.75" customHeight="1" x14ac:dyDescent="0.6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5.75" customHeight="1" x14ac:dyDescent="0.6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15.75" customHeight="1" x14ac:dyDescent="0.6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15.75" customHeight="1" x14ac:dyDescent="0.6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15.75" customHeight="1" x14ac:dyDescent="0.6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15.75" customHeight="1" x14ac:dyDescent="0.6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15.75" customHeight="1" x14ac:dyDescent="0.6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15.75" customHeight="1" x14ac:dyDescent="0.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15.75" customHeight="1" x14ac:dyDescent="0.6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15.75" customHeight="1" x14ac:dyDescent="0.6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15.75" customHeight="1" x14ac:dyDescent="0.6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15.75" customHeight="1" x14ac:dyDescent="0.6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15.75" customHeight="1" x14ac:dyDescent="0.6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15.75" customHeight="1" x14ac:dyDescent="0.6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15.75" customHeight="1" x14ac:dyDescent="0.6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15.75" customHeight="1" x14ac:dyDescent="0.6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15.75" customHeight="1" x14ac:dyDescent="0.6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15.75" customHeight="1" x14ac:dyDescent="0.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15.75" customHeight="1" x14ac:dyDescent="0.6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15.75" customHeight="1" x14ac:dyDescent="0.6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15.75" customHeight="1" x14ac:dyDescent="0.6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15.75" customHeight="1" x14ac:dyDescent="0.6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15.75" customHeight="1" x14ac:dyDescent="0.6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15.75" customHeight="1" x14ac:dyDescent="0.6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15.75" customHeight="1" x14ac:dyDescent="0.6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15.75" customHeight="1" x14ac:dyDescent="0.6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15.75" customHeight="1" x14ac:dyDescent="0.6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15.75" customHeight="1" x14ac:dyDescent="0.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15.75" customHeight="1" x14ac:dyDescent="0.6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15.75" customHeight="1" x14ac:dyDescent="0.6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15.75" customHeight="1" x14ac:dyDescent="0.6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15.75" customHeight="1" x14ac:dyDescent="0.6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15.75" customHeight="1" x14ac:dyDescent="0.6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15.75" customHeight="1" x14ac:dyDescent="0.6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15.75" customHeight="1" x14ac:dyDescent="0.6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15.75" customHeight="1" x14ac:dyDescent="0.6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15.75" customHeight="1" x14ac:dyDescent="0.6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15.75" customHeight="1" x14ac:dyDescent="0.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15.75" customHeight="1" x14ac:dyDescent="0.6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15.75" customHeight="1" x14ac:dyDescent="0.6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15.75" customHeight="1" x14ac:dyDescent="0.6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15.75" customHeight="1" x14ac:dyDescent="0.6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15.75" customHeight="1" x14ac:dyDescent="0.6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15.75" customHeight="1" x14ac:dyDescent="0.6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15.75" customHeight="1" x14ac:dyDescent="0.6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15.75" customHeight="1" x14ac:dyDescent="0.6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15.75" customHeight="1" x14ac:dyDescent="0.6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15.75" customHeight="1" x14ac:dyDescent="0.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15.75" customHeight="1" x14ac:dyDescent="0.6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15.75" customHeight="1" x14ac:dyDescent="0.6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15.75" customHeight="1" x14ac:dyDescent="0.6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15.75" customHeight="1" x14ac:dyDescent="0.6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15.75" customHeight="1" x14ac:dyDescent="0.6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15.75" customHeight="1" x14ac:dyDescent="0.6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15.75" customHeight="1" x14ac:dyDescent="0.6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15.75" customHeight="1" x14ac:dyDescent="0.6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15.75" customHeight="1" x14ac:dyDescent="0.6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15.75" customHeight="1" x14ac:dyDescent="0.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15.75" customHeight="1" x14ac:dyDescent="0.6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15.75" customHeight="1" x14ac:dyDescent="0.6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15.75" customHeight="1" x14ac:dyDescent="0.6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15.75" customHeight="1" x14ac:dyDescent="0.6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15.75" customHeight="1" x14ac:dyDescent="0.6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15.75" customHeight="1" x14ac:dyDescent="0.6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15.75" customHeight="1" x14ac:dyDescent="0.6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15.75" customHeight="1" x14ac:dyDescent="0.6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15.75" customHeight="1" x14ac:dyDescent="0.6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15.75" customHeight="1" x14ac:dyDescent="0.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15.75" customHeight="1" x14ac:dyDescent="0.6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15.75" customHeight="1" x14ac:dyDescent="0.6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15.75" customHeight="1" x14ac:dyDescent="0.6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15.75" customHeight="1" x14ac:dyDescent="0.6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15.75" customHeight="1" x14ac:dyDescent="0.6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15.75" customHeight="1" x14ac:dyDescent="0.6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15.75" customHeight="1" x14ac:dyDescent="0.6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15.75" customHeight="1" x14ac:dyDescent="0.6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15.75" customHeight="1" x14ac:dyDescent="0.6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15.75" customHeight="1" x14ac:dyDescent="0.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15.75" customHeight="1" x14ac:dyDescent="0.6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15.75" customHeight="1" x14ac:dyDescent="0.6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15.75" customHeight="1" x14ac:dyDescent="0.6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15.75" customHeight="1" x14ac:dyDescent="0.6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15.75" customHeight="1" x14ac:dyDescent="0.6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15.75" customHeight="1" x14ac:dyDescent="0.6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15.75" customHeight="1" x14ac:dyDescent="0.6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15.75" customHeight="1" x14ac:dyDescent="0.6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15.75" customHeight="1" x14ac:dyDescent="0.6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15.75" customHeight="1" x14ac:dyDescent="0.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15.75" customHeight="1" x14ac:dyDescent="0.6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15.75" customHeight="1" x14ac:dyDescent="0.6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15.75" customHeight="1" x14ac:dyDescent="0.6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15.75" customHeight="1" x14ac:dyDescent="0.6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15.75" customHeight="1" x14ac:dyDescent="0.6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15.75" customHeight="1" x14ac:dyDescent="0.6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15.75" customHeight="1" x14ac:dyDescent="0.6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15.75" customHeight="1" x14ac:dyDescent="0.6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15.75" customHeight="1" x14ac:dyDescent="0.6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15.75" customHeight="1" x14ac:dyDescent="0.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15.75" customHeight="1" x14ac:dyDescent="0.6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15.75" customHeight="1" x14ac:dyDescent="0.6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15.75" customHeight="1" x14ac:dyDescent="0.6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15.75" customHeight="1" x14ac:dyDescent="0.6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15.75" customHeight="1" x14ac:dyDescent="0.6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15.75" customHeight="1" x14ac:dyDescent="0.6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15.75" customHeight="1" x14ac:dyDescent="0.6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15.75" customHeight="1" x14ac:dyDescent="0.6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15.75" customHeight="1" x14ac:dyDescent="0.6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15.75" customHeight="1" x14ac:dyDescent="0.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15.75" customHeight="1" x14ac:dyDescent="0.6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15.75" customHeight="1" x14ac:dyDescent="0.6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15.75" customHeight="1" x14ac:dyDescent="0.6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15.75" customHeight="1" x14ac:dyDescent="0.6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15.75" customHeight="1" x14ac:dyDescent="0.6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15.75" customHeight="1" x14ac:dyDescent="0.6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15.75" customHeight="1" x14ac:dyDescent="0.6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15.75" customHeight="1" x14ac:dyDescent="0.6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15.75" customHeight="1" x14ac:dyDescent="0.6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15.75" customHeight="1" x14ac:dyDescent="0.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15.75" customHeight="1" x14ac:dyDescent="0.6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15.75" customHeight="1" x14ac:dyDescent="0.6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15.75" customHeight="1" x14ac:dyDescent="0.6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15.75" customHeight="1" x14ac:dyDescent="0.6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15.75" customHeight="1" x14ac:dyDescent="0.6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15.75" customHeight="1" x14ac:dyDescent="0.6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15.75" customHeight="1" x14ac:dyDescent="0.6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15.75" customHeight="1" x14ac:dyDescent="0.6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15.75" customHeight="1" x14ac:dyDescent="0.6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15.75" customHeight="1" x14ac:dyDescent="0.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15.75" customHeight="1" x14ac:dyDescent="0.6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15.75" customHeight="1" x14ac:dyDescent="0.6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15.75" customHeight="1" x14ac:dyDescent="0.6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15.75" customHeight="1" x14ac:dyDescent="0.6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15.75" customHeight="1" x14ac:dyDescent="0.6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15.75" customHeight="1" x14ac:dyDescent="0.6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15.75" customHeight="1" x14ac:dyDescent="0.6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15.75" customHeight="1" x14ac:dyDescent="0.6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15.75" customHeight="1" x14ac:dyDescent="0.6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15.75" customHeight="1" x14ac:dyDescent="0.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15.75" customHeight="1" x14ac:dyDescent="0.6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15.75" customHeight="1" x14ac:dyDescent="0.6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15.75" customHeight="1" x14ac:dyDescent="0.6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15.75" customHeight="1" x14ac:dyDescent="0.6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15.75" customHeight="1" x14ac:dyDescent="0.6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15.75" customHeight="1" x14ac:dyDescent="0.6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15.75" customHeight="1" x14ac:dyDescent="0.6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15.75" customHeight="1" x14ac:dyDescent="0.6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15.75" customHeight="1" x14ac:dyDescent="0.6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15.75" customHeight="1" x14ac:dyDescent="0.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15.75" customHeight="1" x14ac:dyDescent="0.6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15.75" customHeight="1" x14ac:dyDescent="0.6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15.75" customHeight="1" x14ac:dyDescent="0.6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15.75" customHeight="1" x14ac:dyDescent="0.6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15.75" customHeight="1" x14ac:dyDescent="0.6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15.75" customHeight="1" x14ac:dyDescent="0.6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15.75" customHeight="1" x14ac:dyDescent="0.6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15.75" customHeight="1" x14ac:dyDescent="0.6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15.75" customHeight="1" x14ac:dyDescent="0.6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15.75" customHeight="1" x14ac:dyDescent="0.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15.75" customHeight="1" x14ac:dyDescent="0.6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15.75" customHeight="1" x14ac:dyDescent="0.6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15.75" customHeight="1" x14ac:dyDescent="0.6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15.75" customHeight="1" x14ac:dyDescent="0.6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15.75" customHeight="1" x14ac:dyDescent="0.6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15.75" customHeight="1" x14ac:dyDescent="0.6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15.75" customHeight="1" x14ac:dyDescent="0.6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15.75" customHeight="1" x14ac:dyDescent="0.6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15.75" customHeight="1" x14ac:dyDescent="0.6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15.75" customHeight="1" x14ac:dyDescent="0.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15.75" customHeight="1" x14ac:dyDescent="0.6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15.75" customHeight="1" x14ac:dyDescent="0.6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15.75" customHeight="1" x14ac:dyDescent="0.6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15.75" customHeight="1" x14ac:dyDescent="0.6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15.75" customHeight="1" x14ac:dyDescent="0.6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15.75" customHeight="1" x14ac:dyDescent="0.6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15.75" customHeight="1" x14ac:dyDescent="0.6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15.75" customHeight="1" x14ac:dyDescent="0.6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15.75" customHeight="1" x14ac:dyDescent="0.6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15.75" customHeight="1" x14ac:dyDescent="0.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15.75" customHeight="1" x14ac:dyDescent="0.6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15.75" customHeight="1" x14ac:dyDescent="0.6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15.75" customHeight="1" x14ac:dyDescent="0.6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15.75" customHeight="1" x14ac:dyDescent="0.6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15.75" customHeight="1" x14ac:dyDescent="0.6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15.75" customHeight="1" x14ac:dyDescent="0.6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15.75" customHeight="1" x14ac:dyDescent="0.6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15.75" customHeight="1" x14ac:dyDescent="0.6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15.75" customHeight="1" x14ac:dyDescent="0.6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15.75" customHeight="1" x14ac:dyDescent="0.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15.75" customHeight="1" x14ac:dyDescent="0.6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15.75" customHeight="1" x14ac:dyDescent="0.6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15.75" customHeight="1" x14ac:dyDescent="0.6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15.75" customHeight="1" x14ac:dyDescent="0.6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15.75" customHeight="1" x14ac:dyDescent="0.6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15.75" customHeight="1" x14ac:dyDescent="0.6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15.75" customHeight="1" x14ac:dyDescent="0.6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15.75" customHeight="1" x14ac:dyDescent="0.6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15.75" customHeight="1" x14ac:dyDescent="0.6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15.75" customHeight="1" x14ac:dyDescent="0.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15.75" customHeight="1" x14ac:dyDescent="0.6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15.75" customHeight="1" x14ac:dyDescent="0.6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15.75" customHeight="1" x14ac:dyDescent="0.6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15.75" customHeight="1" x14ac:dyDescent="0.6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15.75" customHeight="1" x14ac:dyDescent="0.6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15.75" customHeight="1" x14ac:dyDescent="0.6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15.75" customHeight="1" x14ac:dyDescent="0.6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15.75" customHeight="1" x14ac:dyDescent="0.6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15.75" customHeight="1" x14ac:dyDescent="0.6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15.75" customHeight="1" x14ac:dyDescent="0.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15.75" customHeight="1" x14ac:dyDescent="0.6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15.75" customHeight="1" x14ac:dyDescent="0.6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15.75" customHeight="1" x14ac:dyDescent="0.6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15.75" customHeight="1" x14ac:dyDescent="0.6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15.75" customHeight="1" x14ac:dyDescent="0.6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15.75" customHeight="1" x14ac:dyDescent="0.6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15.75" customHeight="1" x14ac:dyDescent="0.6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15.75" customHeight="1" x14ac:dyDescent="0.6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15.75" customHeight="1" x14ac:dyDescent="0.6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15.75" customHeight="1" x14ac:dyDescent="0.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15.75" customHeight="1" x14ac:dyDescent="0.6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15.75" customHeight="1" x14ac:dyDescent="0.6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15.75" customHeight="1" x14ac:dyDescent="0.6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15.75" customHeight="1" x14ac:dyDescent="0.6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ht="15.75" customHeight="1" x14ac:dyDescent="0.6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ht="15.75" customHeight="1" x14ac:dyDescent="0.6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ht="15.75" customHeight="1" x14ac:dyDescent="0.6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ht="15.75" customHeight="1" x14ac:dyDescent="0.6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ht="15.75" customHeight="1" x14ac:dyDescent="0.6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ht="15.75" customHeight="1" x14ac:dyDescent="0.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ht="15.75" customHeight="1" x14ac:dyDescent="0.6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ht="15.75" customHeight="1" x14ac:dyDescent="0.6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ht="15.75" customHeight="1" x14ac:dyDescent="0.6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ht="15.75" customHeight="1" x14ac:dyDescent="0.6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ht="15.75" customHeight="1" x14ac:dyDescent="0.6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ht="15.75" customHeight="1" x14ac:dyDescent="0.6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ht="15.75" customHeight="1" x14ac:dyDescent="0.6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ht="15.75" customHeight="1" x14ac:dyDescent="0.6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ht="15.75" customHeight="1" x14ac:dyDescent="0.6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ht="15.75" customHeight="1" x14ac:dyDescent="0.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ht="15.75" customHeight="1" x14ac:dyDescent="0.6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ht="15.75" customHeight="1" x14ac:dyDescent="0.6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ht="15.75" customHeight="1" x14ac:dyDescent="0.6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ht="15.75" customHeight="1" x14ac:dyDescent="0.6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ht="15.75" customHeight="1" x14ac:dyDescent="0.6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ht="15.75" customHeight="1" x14ac:dyDescent="0.6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ht="15.75" customHeight="1" x14ac:dyDescent="0.6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ht="15.75" customHeight="1" x14ac:dyDescent="0.6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ht="15.75" customHeight="1" x14ac:dyDescent="0.6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ht="15.75" customHeight="1" x14ac:dyDescent="0.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ht="15.75" customHeight="1" x14ac:dyDescent="0.6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ht="15.75" customHeight="1" x14ac:dyDescent="0.6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15.75" customHeight="1" x14ac:dyDescent="0.6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15.75" customHeight="1" x14ac:dyDescent="0.6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15.75" customHeight="1" x14ac:dyDescent="0.6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15.75" customHeight="1" x14ac:dyDescent="0.6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15.75" customHeight="1" x14ac:dyDescent="0.6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15.75" customHeight="1" x14ac:dyDescent="0.6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15.75" customHeight="1" x14ac:dyDescent="0.6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15.75" customHeight="1" x14ac:dyDescent="0.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ht="15.75" customHeight="1" x14ac:dyDescent="0.6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ht="15.75" customHeight="1" x14ac:dyDescent="0.6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ht="15.75" customHeight="1" x14ac:dyDescent="0.6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ht="15.75" customHeight="1" x14ac:dyDescent="0.6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ht="15.75" customHeight="1" x14ac:dyDescent="0.6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ht="15.75" customHeight="1" x14ac:dyDescent="0.6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ht="15.75" customHeight="1" x14ac:dyDescent="0.6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ht="15.75" customHeight="1" x14ac:dyDescent="0.6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ht="15.75" customHeight="1" x14ac:dyDescent="0.6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ht="15.75" customHeight="1" x14ac:dyDescent="0.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ht="15.75" customHeight="1" x14ac:dyDescent="0.6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ht="15.75" customHeight="1" x14ac:dyDescent="0.6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ht="15.75" customHeight="1" x14ac:dyDescent="0.6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ht="15.75" customHeight="1" x14ac:dyDescent="0.6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ht="15.75" customHeight="1" x14ac:dyDescent="0.6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ht="15.75" customHeight="1" x14ac:dyDescent="0.6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ht="15.75" customHeight="1" x14ac:dyDescent="0.6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ht="15.75" customHeight="1" x14ac:dyDescent="0.6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ht="15.75" customHeight="1" x14ac:dyDescent="0.6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ht="15.75" customHeight="1" x14ac:dyDescent="0.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ht="15.75" customHeight="1" x14ac:dyDescent="0.6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ht="15.75" customHeight="1" x14ac:dyDescent="0.6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ht="15.75" customHeight="1" x14ac:dyDescent="0.6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ht="15.75" customHeight="1" x14ac:dyDescent="0.6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ht="15.75" customHeight="1" x14ac:dyDescent="0.6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ht="15.75" customHeight="1" x14ac:dyDescent="0.6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ht="15.75" customHeight="1" x14ac:dyDescent="0.6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ht="15.75" customHeight="1" x14ac:dyDescent="0.6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ht="15.75" customHeight="1" x14ac:dyDescent="0.6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ht="15.75" customHeight="1" x14ac:dyDescent="0.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ht="15.75" customHeight="1" x14ac:dyDescent="0.6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ht="15.75" customHeight="1" x14ac:dyDescent="0.6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ht="15.75" customHeight="1" x14ac:dyDescent="0.6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ht="15.75" customHeight="1" x14ac:dyDescent="0.6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ht="15.75" customHeight="1" x14ac:dyDescent="0.6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ht="15.75" customHeight="1" x14ac:dyDescent="0.6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ht="15.75" customHeight="1" x14ac:dyDescent="0.6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ht="15.75" customHeight="1" x14ac:dyDescent="0.6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ht="15.75" customHeight="1" x14ac:dyDescent="0.6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ht="15.75" customHeight="1" x14ac:dyDescent="0.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ht="15.75" customHeight="1" x14ac:dyDescent="0.6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ht="15.75" customHeight="1" x14ac:dyDescent="0.6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ht="15.75" customHeight="1" x14ac:dyDescent="0.6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ht="15.75" customHeight="1" x14ac:dyDescent="0.6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ht="15.75" customHeight="1" x14ac:dyDescent="0.6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ht="15.75" customHeight="1" x14ac:dyDescent="0.6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ht="15.75" customHeight="1" x14ac:dyDescent="0.6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ht="15.75" customHeight="1" x14ac:dyDescent="0.6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ht="15.75" customHeight="1" x14ac:dyDescent="0.6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ht="15.75" customHeight="1" x14ac:dyDescent="0.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ht="15.75" customHeight="1" x14ac:dyDescent="0.6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ht="15.75" customHeight="1" x14ac:dyDescent="0.6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ht="15.75" customHeight="1" x14ac:dyDescent="0.6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ht="15.75" customHeight="1" x14ac:dyDescent="0.6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ht="15.75" customHeight="1" x14ac:dyDescent="0.6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ht="15.75" customHeight="1" x14ac:dyDescent="0.6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ht="15.75" customHeight="1" x14ac:dyDescent="0.6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ht="15.75" customHeight="1" x14ac:dyDescent="0.6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ht="15.75" customHeight="1" x14ac:dyDescent="0.6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ht="15.75" customHeight="1" x14ac:dyDescent="0.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ht="15.75" customHeight="1" x14ac:dyDescent="0.6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ht="15.75" customHeight="1" x14ac:dyDescent="0.6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ht="15.75" customHeight="1" x14ac:dyDescent="0.6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ht="15.75" customHeight="1" x14ac:dyDescent="0.6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ht="15.75" customHeight="1" x14ac:dyDescent="0.6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ht="15.75" customHeight="1" x14ac:dyDescent="0.6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ht="15.75" customHeight="1" x14ac:dyDescent="0.6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ht="15.75" customHeight="1" x14ac:dyDescent="0.6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ht="15.75" customHeight="1" x14ac:dyDescent="0.6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ht="15.75" customHeight="1" x14ac:dyDescent="0.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ht="15.75" customHeight="1" x14ac:dyDescent="0.6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ht="15.75" customHeight="1" x14ac:dyDescent="0.6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ht="15.75" customHeight="1" x14ac:dyDescent="0.6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ht="15.75" customHeight="1" x14ac:dyDescent="0.6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ht="15.75" customHeight="1" x14ac:dyDescent="0.6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ht="15.75" customHeight="1" x14ac:dyDescent="0.6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ht="15.75" customHeight="1" x14ac:dyDescent="0.6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ht="15.75" customHeight="1" x14ac:dyDescent="0.6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ht="15.75" customHeight="1" x14ac:dyDescent="0.6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ht="15.75" customHeight="1" x14ac:dyDescent="0.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ht="15.75" customHeight="1" x14ac:dyDescent="0.6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ht="15.75" customHeight="1" x14ac:dyDescent="0.6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ht="15.75" customHeight="1" x14ac:dyDescent="0.6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ht="15.75" customHeight="1" x14ac:dyDescent="0.6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ht="15.75" customHeight="1" x14ac:dyDescent="0.6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ht="15.75" customHeight="1" x14ac:dyDescent="0.6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ht="15.75" customHeight="1" x14ac:dyDescent="0.6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ht="15.75" customHeight="1" x14ac:dyDescent="0.6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ht="15.75" customHeight="1" x14ac:dyDescent="0.6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ht="15.75" customHeight="1" x14ac:dyDescent="0.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ht="15.75" customHeight="1" x14ac:dyDescent="0.6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ht="15.75" customHeight="1" x14ac:dyDescent="0.6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ht="15.75" customHeight="1" x14ac:dyDescent="0.6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ht="15.75" customHeight="1" x14ac:dyDescent="0.6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ht="15.75" customHeight="1" x14ac:dyDescent="0.6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ht="15.75" customHeight="1" x14ac:dyDescent="0.6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ht="15.75" customHeight="1" x14ac:dyDescent="0.6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ht="15.75" customHeight="1" x14ac:dyDescent="0.6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ht="15.75" customHeight="1" x14ac:dyDescent="0.6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ht="15.75" customHeight="1" x14ac:dyDescent="0.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ht="15.75" customHeight="1" x14ac:dyDescent="0.6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ht="15.75" customHeight="1" x14ac:dyDescent="0.6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ht="15.75" customHeight="1" x14ac:dyDescent="0.6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ht="15.75" customHeight="1" x14ac:dyDescent="0.6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ht="15.75" customHeight="1" x14ac:dyDescent="0.6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ht="15.75" customHeight="1" x14ac:dyDescent="0.6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ht="15.75" customHeight="1" x14ac:dyDescent="0.6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ht="15.75" customHeight="1" x14ac:dyDescent="0.6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ht="15.75" customHeight="1" x14ac:dyDescent="0.6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ht="15.75" customHeight="1" x14ac:dyDescent="0.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ht="15.75" customHeight="1" x14ac:dyDescent="0.6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ht="15.75" customHeight="1" x14ac:dyDescent="0.6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ht="15.75" customHeight="1" x14ac:dyDescent="0.6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ht="15.75" customHeight="1" x14ac:dyDescent="0.6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ht="15.75" customHeight="1" x14ac:dyDescent="0.6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ht="15.75" customHeight="1" x14ac:dyDescent="0.6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ht="15.75" customHeight="1" x14ac:dyDescent="0.6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ht="15.75" customHeight="1" x14ac:dyDescent="0.6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ht="15.75" customHeight="1" x14ac:dyDescent="0.6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ht="15.75" customHeight="1" x14ac:dyDescent="0.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ht="15.75" customHeight="1" x14ac:dyDescent="0.6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ht="15.75" customHeight="1" x14ac:dyDescent="0.6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ht="15.75" customHeight="1" x14ac:dyDescent="0.6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ht="15.75" customHeight="1" x14ac:dyDescent="0.6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ht="15.75" customHeight="1" x14ac:dyDescent="0.6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ht="15.75" customHeight="1" x14ac:dyDescent="0.6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ht="15.75" customHeight="1" x14ac:dyDescent="0.6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ht="15.75" customHeight="1" x14ac:dyDescent="0.6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ht="15.75" customHeight="1" x14ac:dyDescent="0.6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ht="15.75" customHeight="1" x14ac:dyDescent="0.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ht="15.75" customHeight="1" x14ac:dyDescent="0.6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ht="15.75" customHeight="1" x14ac:dyDescent="0.6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ht="15.75" customHeight="1" x14ac:dyDescent="0.6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ht="15.75" customHeight="1" x14ac:dyDescent="0.6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ht="15.75" customHeight="1" x14ac:dyDescent="0.6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ht="15.75" customHeight="1" x14ac:dyDescent="0.6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ht="15.75" customHeight="1" x14ac:dyDescent="0.6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ht="15.75" customHeight="1" x14ac:dyDescent="0.6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ht="15.75" customHeight="1" x14ac:dyDescent="0.6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ht="15.75" customHeight="1" x14ac:dyDescent="0.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ht="15.75" customHeight="1" x14ac:dyDescent="0.6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ht="15.75" customHeight="1" x14ac:dyDescent="0.6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ht="15.75" customHeight="1" x14ac:dyDescent="0.6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ht="15.75" customHeight="1" x14ac:dyDescent="0.6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ht="15.75" customHeight="1" x14ac:dyDescent="0.6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ht="15.75" customHeight="1" x14ac:dyDescent="0.6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ht="15.75" customHeight="1" x14ac:dyDescent="0.6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ht="15.75" customHeight="1" x14ac:dyDescent="0.6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ht="15.75" customHeight="1" x14ac:dyDescent="0.6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ht="15.75" customHeight="1" x14ac:dyDescent="0.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ht="15.75" customHeight="1" x14ac:dyDescent="0.6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ht="15.75" customHeight="1" x14ac:dyDescent="0.6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ht="15.75" customHeight="1" x14ac:dyDescent="0.6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ht="15.75" customHeight="1" x14ac:dyDescent="0.6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ht="15.75" customHeight="1" x14ac:dyDescent="0.6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ht="15.75" customHeight="1" x14ac:dyDescent="0.6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ht="15.75" customHeight="1" x14ac:dyDescent="0.6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ht="15.75" customHeight="1" x14ac:dyDescent="0.6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ht="15.75" customHeight="1" x14ac:dyDescent="0.6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ht="15.75" customHeight="1" x14ac:dyDescent="0.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ht="15.75" customHeight="1" x14ac:dyDescent="0.6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ht="15.75" customHeight="1" x14ac:dyDescent="0.6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ht="15.75" customHeight="1" x14ac:dyDescent="0.6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ht="15.75" customHeight="1" x14ac:dyDescent="0.6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ht="15.75" customHeight="1" x14ac:dyDescent="0.6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ht="15.75" customHeight="1" x14ac:dyDescent="0.6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ht="15.75" customHeight="1" x14ac:dyDescent="0.6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ht="15.75" customHeight="1" x14ac:dyDescent="0.6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ht="15.75" customHeight="1" x14ac:dyDescent="0.6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ht="15.75" customHeight="1" x14ac:dyDescent="0.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ht="15.75" customHeight="1" x14ac:dyDescent="0.6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ht="15.75" customHeight="1" x14ac:dyDescent="0.6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ht="15.75" customHeight="1" x14ac:dyDescent="0.6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ht="15.75" customHeight="1" x14ac:dyDescent="0.6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ht="15.75" customHeight="1" x14ac:dyDescent="0.6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ht="15.75" customHeight="1" x14ac:dyDescent="0.6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ht="15.75" customHeight="1" x14ac:dyDescent="0.6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ht="15.75" customHeight="1" x14ac:dyDescent="0.6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ht="15.75" customHeight="1" x14ac:dyDescent="0.6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ht="15.75" customHeight="1" x14ac:dyDescent="0.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ht="15.75" customHeight="1" x14ac:dyDescent="0.6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ht="15.75" customHeight="1" x14ac:dyDescent="0.6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ht="15.75" customHeight="1" x14ac:dyDescent="0.6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ht="15.75" customHeight="1" x14ac:dyDescent="0.6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ht="15.75" customHeight="1" x14ac:dyDescent="0.6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ht="15.75" customHeight="1" x14ac:dyDescent="0.6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ht="15.75" customHeight="1" x14ac:dyDescent="0.6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ht="15.75" customHeight="1" x14ac:dyDescent="0.6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ht="15.75" customHeight="1" x14ac:dyDescent="0.6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ht="15.75" customHeight="1" x14ac:dyDescent="0.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ht="15.75" customHeight="1" x14ac:dyDescent="0.6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ht="15.75" customHeight="1" x14ac:dyDescent="0.6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ht="15.75" customHeight="1" x14ac:dyDescent="0.6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ht="15.75" customHeight="1" x14ac:dyDescent="0.6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ht="15.75" customHeight="1" x14ac:dyDescent="0.6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ht="15.75" customHeight="1" x14ac:dyDescent="0.6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ht="15.75" customHeight="1" x14ac:dyDescent="0.6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ht="15.75" customHeight="1" x14ac:dyDescent="0.6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ht="15.75" customHeight="1" x14ac:dyDescent="0.6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ht="15.75" customHeight="1" x14ac:dyDescent="0.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ht="15.75" customHeight="1" x14ac:dyDescent="0.6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ht="15.75" customHeight="1" x14ac:dyDescent="0.6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ht="15.75" customHeight="1" x14ac:dyDescent="0.6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ht="15.75" customHeight="1" x14ac:dyDescent="0.6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ht="15.75" customHeight="1" x14ac:dyDescent="0.6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ht="15.75" customHeight="1" x14ac:dyDescent="0.6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ht="15.75" customHeight="1" x14ac:dyDescent="0.6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ht="15.75" customHeight="1" x14ac:dyDescent="0.6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ht="15.75" customHeight="1" x14ac:dyDescent="0.6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ht="15.75" customHeight="1" x14ac:dyDescent="0.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ht="15.75" customHeight="1" x14ac:dyDescent="0.6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ht="15.75" customHeight="1" x14ac:dyDescent="0.6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ht="15.75" customHeight="1" x14ac:dyDescent="0.6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ht="15.75" customHeight="1" x14ac:dyDescent="0.6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ht="15.75" customHeight="1" x14ac:dyDescent="0.6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ht="15.75" customHeight="1" x14ac:dyDescent="0.6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ht="15.75" customHeight="1" x14ac:dyDescent="0.6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ht="15.75" customHeight="1" x14ac:dyDescent="0.6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ht="15.75" customHeight="1" x14ac:dyDescent="0.6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ht="15.75" customHeight="1" x14ac:dyDescent="0.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ht="15.75" customHeight="1" x14ac:dyDescent="0.6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ht="15.75" customHeight="1" x14ac:dyDescent="0.6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ht="15.75" customHeight="1" x14ac:dyDescent="0.6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ht="15.75" customHeight="1" x14ac:dyDescent="0.6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ht="15.75" customHeight="1" x14ac:dyDescent="0.6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ht="15.75" customHeight="1" x14ac:dyDescent="0.6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ht="15.75" customHeight="1" x14ac:dyDescent="0.6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ht="15.75" customHeight="1" x14ac:dyDescent="0.6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ht="15.75" customHeight="1" x14ac:dyDescent="0.6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ht="15.75" customHeight="1" x14ac:dyDescent="0.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ht="15.75" customHeight="1" x14ac:dyDescent="0.6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ht="15.75" customHeight="1" x14ac:dyDescent="0.6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ht="15.75" customHeight="1" x14ac:dyDescent="0.6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ht="15.75" customHeight="1" x14ac:dyDescent="0.6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ht="15.75" customHeight="1" x14ac:dyDescent="0.6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ht="15.75" customHeight="1" x14ac:dyDescent="0.6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ht="15.75" customHeight="1" x14ac:dyDescent="0.6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ht="15.75" customHeight="1" x14ac:dyDescent="0.6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ht="15.75" customHeight="1" x14ac:dyDescent="0.6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ht="15.75" customHeight="1" x14ac:dyDescent="0.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ht="15.75" customHeight="1" x14ac:dyDescent="0.6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ht="15.75" customHeight="1" x14ac:dyDescent="0.6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ht="15.75" customHeight="1" x14ac:dyDescent="0.6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ht="15.75" customHeight="1" x14ac:dyDescent="0.6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ht="15.75" customHeight="1" x14ac:dyDescent="0.6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ht="15.75" customHeight="1" x14ac:dyDescent="0.6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ht="15.75" customHeight="1" x14ac:dyDescent="0.6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ht="15.75" customHeight="1" x14ac:dyDescent="0.6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ht="15.75" customHeight="1" x14ac:dyDescent="0.6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ht="15.75" customHeight="1" x14ac:dyDescent="0.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ht="15.75" customHeight="1" x14ac:dyDescent="0.6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ht="15.75" customHeight="1" x14ac:dyDescent="0.6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ht="15.75" customHeight="1" x14ac:dyDescent="0.6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ht="15.75" customHeight="1" x14ac:dyDescent="0.6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ht="15.75" customHeight="1" x14ac:dyDescent="0.6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ht="15.75" customHeight="1" x14ac:dyDescent="0.6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ht="15.75" customHeight="1" x14ac:dyDescent="0.6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ht="15.75" customHeight="1" x14ac:dyDescent="0.6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ht="15.75" customHeight="1" x14ac:dyDescent="0.6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ht="15.75" customHeight="1" x14ac:dyDescent="0.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ht="15.75" customHeight="1" x14ac:dyDescent="0.6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ht="15.75" customHeight="1" x14ac:dyDescent="0.6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ht="15.75" customHeight="1" x14ac:dyDescent="0.6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ht="15.75" customHeight="1" x14ac:dyDescent="0.6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ht="15.75" customHeight="1" x14ac:dyDescent="0.6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ht="15.75" customHeight="1" x14ac:dyDescent="0.6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ht="15.75" customHeight="1" x14ac:dyDescent="0.6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ht="15.75" customHeight="1" x14ac:dyDescent="0.6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ht="15.75" customHeight="1" x14ac:dyDescent="0.6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ht="15.75" customHeight="1" x14ac:dyDescent="0.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ht="15.75" customHeight="1" x14ac:dyDescent="0.6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ht="15.75" customHeight="1" x14ac:dyDescent="0.6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ht="15.75" customHeight="1" x14ac:dyDescent="0.6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ht="15.75" customHeight="1" x14ac:dyDescent="0.6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ht="15.75" customHeight="1" x14ac:dyDescent="0.6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ht="15.75" customHeight="1" x14ac:dyDescent="0.6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ht="15.75" customHeight="1" x14ac:dyDescent="0.6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ht="15.75" customHeight="1" x14ac:dyDescent="0.6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ht="15.75" customHeight="1" x14ac:dyDescent="0.6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ht="15.75" customHeight="1" x14ac:dyDescent="0.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ht="15.75" customHeight="1" x14ac:dyDescent="0.6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ht="15.75" customHeight="1" x14ac:dyDescent="0.6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ht="15.75" customHeight="1" x14ac:dyDescent="0.6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ht="15.75" customHeight="1" x14ac:dyDescent="0.6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ht="15.75" customHeight="1" x14ac:dyDescent="0.6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ht="15.75" customHeight="1" x14ac:dyDescent="0.6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ht="15.75" customHeight="1" x14ac:dyDescent="0.6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ht="15.75" customHeight="1" x14ac:dyDescent="0.6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ht="15.75" customHeight="1" x14ac:dyDescent="0.6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ht="15.75" customHeight="1" x14ac:dyDescent="0.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ht="15.75" customHeight="1" x14ac:dyDescent="0.6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ht="15.75" customHeight="1" x14ac:dyDescent="0.6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ht="15.75" customHeight="1" x14ac:dyDescent="0.6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ht="15.75" customHeight="1" x14ac:dyDescent="0.6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ht="15.75" customHeight="1" x14ac:dyDescent="0.6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ht="15.75" customHeight="1" x14ac:dyDescent="0.6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ht="15.75" customHeight="1" x14ac:dyDescent="0.6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ht="15.75" customHeight="1" x14ac:dyDescent="0.6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ht="15.75" customHeight="1" x14ac:dyDescent="0.6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ht="15.75" customHeight="1" x14ac:dyDescent="0.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ht="15.75" customHeight="1" x14ac:dyDescent="0.6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ht="15.75" customHeight="1" x14ac:dyDescent="0.6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ht="15.75" customHeight="1" x14ac:dyDescent="0.6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ht="15.75" customHeight="1" x14ac:dyDescent="0.6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ht="15.75" customHeight="1" x14ac:dyDescent="0.6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ht="15.75" customHeight="1" x14ac:dyDescent="0.6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ht="15.75" customHeight="1" x14ac:dyDescent="0.6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ht="15.75" customHeight="1" x14ac:dyDescent="0.6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ht="15.75" customHeight="1" x14ac:dyDescent="0.6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ht="15.75" customHeight="1" x14ac:dyDescent="0.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ht="15.75" customHeight="1" x14ac:dyDescent="0.6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ht="15.75" customHeight="1" x14ac:dyDescent="0.6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ht="15.75" customHeight="1" x14ac:dyDescent="0.6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ht="15.75" customHeight="1" x14ac:dyDescent="0.6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ht="15.75" customHeight="1" x14ac:dyDescent="0.6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ht="15.75" customHeight="1" x14ac:dyDescent="0.6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ht="15.75" customHeight="1" x14ac:dyDescent="0.6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ht="15.75" customHeight="1" x14ac:dyDescent="0.6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ht="15.75" customHeight="1" x14ac:dyDescent="0.6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ht="15.75" customHeight="1" x14ac:dyDescent="0.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ht="15.75" customHeight="1" x14ac:dyDescent="0.6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ht="15.75" customHeight="1" x14ac:dyDescent="0.6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ht="15.75" customHeight="1" x14ac:dyDescent="0.6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ht="15.75" customHeight="1" x14ac:dyDescent="0.6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ht="15.75" customHeight="1" x14ac:dyDescent="0.6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ht="15.75" customHeight="1" x14ac:dyDescent="0.6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ht="15.75" customHeight="1" x14ac:dyDescent="0.6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ht="15.75" customHeight="1" x14ac:dyDescent="0.6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ht="15.75" customHeight="1" x14ac:dyDescent="0.6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ht="15.75" customHeight="1" x14ac:dyDescent="0.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ht="15.75" customHeight="1" x14ac:dyDescent="0.6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ht="15.75" customHeight="1" x14ac:dyDescent="0.6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ht="15.75" customHeight="1" x14ac:dyDescent="0.6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ht="15.75" customHeight="1" x14ac:dyDescent="0.6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ht="15.75" customHeight="1" x14ac:dyDescent="0.6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ht="15.75" customHeight="1" x14ac:dyDescent="0.6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ht="15.75" customHeight="1" x14ac:dyDescent="0.6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ht="15.75" customHeight="1" x14ac:dyDescent="0.6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ht="15.75" customHeight="1" x14ac:dyDescent="0.6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ht="15.75" customHeight="1" x14ac:dyDescent="0.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ht="15.75" customHeight="1" x14ac:dyDescent="0.6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ht="15.75" customHeight="1" x14ac:dyDescent="0.6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ht="15.75" customHeight="1" x14ac:dyDescent="0.6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ht="15.75" customHeight="1" x14ac:dyDescent="0.6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ht="15.75" customHeight="1" x14ac:dyDescent="0.6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ht="15.75" customHeight="1" x14ac:dyDescent="0.6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ht="15.75" customHeight="1" x14ac:dyDescent="0.6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ht="15.75" customHeight="1" x14ac:dyDescent="0.6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ht="15.75" customHeight="1" x14ac:dyDescent="0.6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ht="15.75" customHeight="1" x14ac:dyDescent="0.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ht="15.75" customHeight="1" x14ac:dyDescent="0.6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ht="15.75" customHeight="1" x14ac:dyDescent="0.6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ht="15.75" customHeight="1" x14ac:dyDescent="0.6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ht="15.75" customHeight="1" x14ac:dyDescent="0.6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ht="15.75" customHeight="1" x14ac:dyDescent="0.6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ht="15.75" customHeight="1" x14ac:dyDescent="0.6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ht="15.75" customHeight="1" x14ac:dyDescent="0.6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ht="15.75" customHeight="1" x14ac:dyDescent="0.6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ht="15.75" customHeight="1" x14ac:dyDescent="0.6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ht="15.75" customHeight="1" x14ac:dyDescent="0.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ht="15.75" customHeight="1" x14ac:dyDescent="0.6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ht="15.75" customHeight="1" x14ac:dyDescent="0.6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ht="15.75" customHeight="1" x14ac:dyDescent="0.6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ht="15.75" customHeight="1" x14ac:dyDescent="0.6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ht="15.75" customHeight="1" x14ac:dyDescent="0.6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ht="15.75" customHeight="1" x14ac:dyDescent="0.6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ht="15.75" customHeight="1" x14ac:dyDescent="0.6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ht="15.75" customHeight="1" x14ac:dyDescent="0.6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ht="15.75" customHeight="1" x14ac:dyDescent="0.6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ht="15.75" customHeight="1" x14ac:dyDescent="0.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ht="15.75" customHeight="1" x14ac:dyDescent="0.6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ht="15.75" customHeight="1" x14ac:dyDescent="0.6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ht="15.75" customHeight="1" x14ac:dyDescent="0.6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ht="15.75" customHeight="1" x14ac:dyDescent="0.6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ht="15.75" customHeight="1" x14ac:dyDescent="0.6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ht="15.75" customHeight="1" x14ac:dyDescent="0.6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ht="15.75" customHeight="1" x14ac:dyDescent="0.6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ht="15.75" customHeight="1" x14ac:dyDescent="0.6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ht="15.75" customHeight="1" x14ac:dyDescent="0.6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ht="15.75" customHeight="1" x14ac:dyDescent="0.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ht="15.75" customHeight="1" x14ac:dyDescent="0.6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ht="15.75" customHeight="1" x14ac:dyDescent="0.6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 ht="15.75" customHeight="1" x14ac:dyDescent="0.6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spans="1:26" ht="15.75" customHeight="1" x14ac:dyDescent="0.6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  <row r="1001" spans="1:26" ht="15.75" customHeight="1" x14ac:dyDescent="0.6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</row>
    <row r="1002" spans="1:26" ht="15.75" customHeight="1" x14ac:dyDescent="0.6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</row>
    <row r="1003" spans="1:26" ht="15.75" customHeight="1" x14ac:dyDescent="0.6">
      <c r="A1003" s="25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</row>
    <row r="1004" spans="1:26" ht="15.75" customHeight="1" x14ac:dyDescent="0.6">
      <c r="A1004" s="25"/>
      <c r="B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</row>
    <row r="1005" spans="1:26" ht="15.75" customHeight="1" x14ac:dyDescent="0.6">
      <c r="A1005" s="25"/>
      <c r="B1005" s="25"/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</row>
    <row r="1006" spans="1:26" ht="15.75" customHeight="1" x14ac:dyDescent="0.6">
      <c r="A1006" s="25"/>
      <c r="B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</row>
    <row r="1007" spans="1:26" ht="15.75" customHeight="1" x14ac:dyDescent="0.6">
      <c r="A1007" s="25"/>
      <c r="B1007" s="25"/>
      <c r="C1007" s="25"/>
      <c r="D1007" s="25"/>
      <c r="E1007" s="25"/>
      <c r="F1007" s="25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</row>
    <row r="1008" spans="1:26" ht="15.75" customHeight="1" x14ac:dyDescent="0.6">
      <c r="A1008" s="25"/>
      <c r="B1008" s="25"/>
      <c r="C1008" s="25"/>
      <c r="D1008" s="25"/>
      <c r="E1008" s="25"/>
      <c r="F1008" s="25"/>
      <c r="G1008" s="25"/>
      <c r="H1008" s="25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</row>
    <row r="1009" spans="1:26" ht="15.75" customHeight="1" x14ac:dyDescent="0.6">
      <c r="A1009" s="25"/>
      <c r="B1009" s="25"/>
      <c r="C1009" s="25"/>
      <c r="D1009" s="25"/>
      <c r="E1009" s="25"/>
      <c r="F1009" s="25"/>
      <c r="G1009" s="25"/>
      <c r="H1009" s="25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</row>
    <row r="1010" spans="1:26" ht="15.75" customHeight="1" x14ac:dyDescent="0.6">
      <c r="A1010" s="25"/>
      <c r="B1010" s="25"/>
      <c r="C1010" s="25"/>
      <c r="D1010" s="25"/>
      <c r="E1010" s="25"/>
      <c r="F1010" s="25"/>
      <c r="G1010" s="25"/>
      <c r="H1010" s="25"/>
      <c r="I1010" s="25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</row>
    <row r="1011" spans="1:26" ht="15.75" customHeight="1" x14ac:dyDescent="0.6">
      <c r="A1011" s="25"/>
      <c r="B1011" s="25"/>
      <c r="C1011" s="25"/>
      <c r="D1011" s="25"/>
      <c r="E1011" s="25"/>
      <c r="F1011" s="25"/>
      <c r="G1011" s="25"/>
      <c r="H1011" s="25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</row>
    <row r="1012" spans="1:26" ht="15.75" customHeight="1" x14ac:dyDescent="0.6">
      <c r="A1012" s="25"/>
      <c r="B1012" s="25"/>
      <c r="C1012" s="25"/>
      <c r="D1012" s="25"/>
      <c r="E1012" s="25"/>
      <c r="F1012" s="25"/>
      <c r="G1012" s="25"/>
      <c r="H1012" s="25"/>
      <c r="I1012" s="25"/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</row>
    <row r="1013" spans="1:26" ht="15.75" customHeight="1" x14ac:dyDescent="0.6">
      <c r="A1013" s="25"/>
      <c r="B1013" s="25"/>
      <c r="C1013" s="25"/>
      <c r="D1013" s="25"/>
      <c r="E1013" s="25"/>
      <c r="F1013" s="25"/>
      <c r="G1013" s="25"/>
      <c r="H1013" s="25"/>
      <c r="I1013" s="25"/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</row>
    <row r="1014" spans="1:26" ht="15.75" customHeight="1" x14ac:dyDescent="0.6">
      <c r="A1014" s="25"/>
      <c r="B1014" s="25"/>
      <c r="C1014" s="25"/>
      <c r="D1014" s="25"/>
      <c r="E1014" s="25"/>
      <c r="F1014" s="25"/>
      <c r="G1014" s="25"/>
      <c r="H1014" s="25"/>
      <c r="I1014" s="25"/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</row>
    <row r="1015" spans="1:26" ht="15.75" customHeight="1" x14ac:dyDescent="0.6">
      <c r="A1015" s="25"/>
      <c r="B1015" s="25"/>
      <c r="C1015" s="25"/>
      <c r="D1015" s="25"/>
      <c r="E1015" s="25"/>
      <c r="F1015" s="25"/>
      <c r="G1015" s="25"/>
      <c r="H1015" s="25"/>
      <c r="I1015" s="25"/>
      <c r="J1015" s="25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</row>
    <row r="1016" spans="1:26" ht="15.75" customHeight="1" x14ac:dyDescent="0.6">
      <c r="A1016" s="25"/>
      <c r="B1016" s="25"/>
      <c r="C1016" s="25"/>
      <c r="D1016" s="25"/>
      <c r="E1016" s="25"/>
      <c r="F1016" s="25"/>
      <c r="G1016" s="25"/>
      <c r="H1016" s="25"/>
      <c r="I1016" s="25"/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</row>
    <row r="1017" spans="1:26" ht="15.75" customHeight="1" x14ac:dyDescent="0.6">
      <c r="A1017" s="25"/>
      <c r="B1017" s="25"/>
      <c r="C1017" s="25"/>
      <c r="D1017" s="25"/>
      <c r="E1017" s="25"/>
      <c r="F1017" s="25"/>
      <c r="G1017" s="25"/>
      <c r="H1017" s="25"/>
      <c r="I1017" s="25"/>
      <c r="J1017" s="25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</row>
    <row r="1018" spans="1:26" ht="15.75" customHeight="1" x14ac:dyDescent="0.6">
      <c r="A1018" s="25"/>
      <c r="B1018" s="25"/>
      <c r="C1018" s="25"/>
      <c r="D1018" s="25"/>
      <c r="E1018" s="25"/>
      <c r="F1018" s="25"/>
      <c r="G1018" s="25"/>
      <c r="H1018" s="25"/>
      <c r="I1018" s="25"/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</row>
    <row r="1019" spans="1:26" ht="15.75" customHeight="1" x14ac:dyDescent="0.6">
      <c r="A1019" s="25"/>
      <c r="B1019" s="25"/>
      <c r="C1019" s="25"/>
      <c r="D1019" s="25"/>
      <c r="E1019" s="25"/>
      <c r="F1019" s="25"/>
      <c r="G1019" s="25"/>
      <c r="H1019" s="25"/>
      <c r="I1019" s="25"/>
      <c r="J1019" s="25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</row>
    <row r="1020" spans="1:26" ht="15.75" customHeight="1" x14ac:dyDescent="0.6">
      <c r="A1020" s="25"/>
      <c r="B1020" s="25"/>
      <c r="C1020" s="25"/>
      <c r="D1020" s="25"/>
      <c r="E1020" s="25"/>
      <c r="F1020" s="25"/>
      <c r="G1020" s="25"/>
      <c r="H1020" s="25"/>
      <c r="I1020" s="25"/>
      <c r="J1020" s="25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</row>
    <row r="1021" spans="1:26" ht="15.75" customHeight="1" x14ac:dyDescent="0.6">
      <c r="A1021" s="25"/>
      <c r="B1021" s="25"/>
      <c r="C1021" s="25"/>
      <c r="D1021" s="25"/>
      <c r="E1021" s="25"/>
      <c r="F1021" s="25"/>
      <c r="G1021" s="25"/>
      <c r="H1021" s="25"/>
      <c r="I1021" s="25"/>
      <c r="J1021" s="25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</row>
    <row r="1022" spans="1:26" ht="15.75" customHeight="1" x14ac:dyDescent="0.6">
      <c r="A1022" s="25"/>
      <c r="B1022" s="25"/>
      <c r="C1022" s="25"/>
      <c r="D1022" s="25"/>
      <c r="E1022" s="25"/>
      <c r="F1022" s="25"/>
      <c r="G1022" s="25"/>
      <c r="H1022" s="25"/>
      <c r="I1022" s="25"/>
      <c r="J1022" s="25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</row>
    <row r="1023" spans="1:26" ht="15.75" customHeight="1" x14ac:dyDescent="0.6">
      <c r="A1023" s="25"/>
      <c r="B1023" s="25"/>
      <c r="C1023" s="25"/>
      <c r="D1023" s="25"/>
      <c r="E1023" s="25"/>
      <c r="F1023" s="25"/>
      <c r="G1023" s="25"/>
      <c r="H1023" s="25"/>
      <c r="I1023" s="25"/>
      <c r="J1023" s="25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</row>
    <row r="1024" spans="1:26" ht="16" x14ac:dyDescent="0.2">
      <c r="E1024" s="35"/>
    </row>
    <row r="1025" spans="5:5" ht="16" x14ac:dyDescent="0.2">
      <c r="E1025" s="35"/>
    </row>
    <row r="1026" spans="5:5" ht="16" x14ac:dyDescent="0.2">
      <c r="E1026" s="35"/>
    </row>
    <row r="1027" spans="5:5" ht="16" x14ac:dyDescent="0.2">
      <c r="E1027" s="35"/>
    </row>
    <row r="1028" spans="5:5" ht="16" x14ac:dyDescent="0.2">
      <c r="E1028" s="35"/>
    </row>
    <row r="1029" spans="5:5" ht="16" x14ac:dyDescent="0.2">
      <c r="E1029" s="35"/>
    </row>
    <row r="1030" spans="5:5" ht="16" x14ac:dyDescent="0.2">
      <c r="E1030" s="35"/>
    </row>
    <row r="1031" spans="5:5" ht="16" x14ac:dyDescent="0.2">
      <c r="E1031" s="35"/>
    </row>
    <row r="1032" spans="5:5" ht="16" x14ac:dyDescent="0.2">
      <c r="E1032" s="35"/>
    </row>
    <row r="1033" spans="5:5" ht="16" x14ac:dyDescent="0.2">
      <c r="E1033" s="35"/>
    </row>
    <row r="1034" spans="5:5" ht="16" x14ac:dyDescent="0.2">
      <c r="E1034" s="35"/>
    </row>
    <row r="1035" spans="5:5" ht="16" x14ac:dyDescent="0.2">
      <c r="E1035" s="35"/>
    </row>
    <row r="1036" spans="5:5" ht="16" x14ac:dyDescent="0.2">
      <c r="E1036" s="35"/>
    </row>
    <row r="1037" spans="5:5" ht="16" x14ac:dyDescent="0.2">
      <c r="E1037" s="35"/>
    </row>
    <row r="1038" spans="5:5" ht="16" x14ac:dyDescent="0.2">
      <c r="E1038" s="35"/>
    </row>
    <row r="1039" spans="5:5" ht="16" x14ac:dyDescent="0.2">
      <c r="E1039" s="35"/>
    </row>
    <row r="1040" spans="5:5" ht="16" x14ac:dyDescent="0.2">
      <c r="E1040" s="35"/>
    </row>
    <row r="1041" spans="5:5" ht="16" x14ac:dyDescent="0.2">
      <c r="E1041" s="35"/>
    </row>
    <row r="1042" spans="5:5" ht="16" x14ac:dyDescent="0.2">
      <c r="E1042" s="35"/>
    </row>
    <row r="1043" spans="5:5" ht="16" x14ac:dyDescent="0.2">
      <c r="E1043" s="35"/>
    </row>
    <row r="1044" spans="5:5" ht="16" x14ac:dyDescent="0.2">
      <c r="E1044" s="35"/>
    </row>
    <row r="1045" spans="5:5" ht="16" x14ac:dyDescent="0.2">
      <c r="E1045" s="35"/>
    </row>
    <row r="1046" spans="5:5" ht="16" x14ac:dyDescent="0.2">
      <c r="E1046" s="35"/>
    </row>
    <row r="1047" spans="5:5" ht="16" x14ac:dyDescent="0.2">
      <c r="E1047" s="35"/>
    </row>
    <row r="1048" spans="5:5" ht="16" x14ac:dyDescent="0.2">
      <c r="E1048" s="35"/>
    </row>
    <row r="1049" spans="5:5" ht="16" x14ac:dyDescent="0.2">
      <c r="E1049" s="35"/>
    </row>
    <row r="1050" spans="5:5" ht="16" x14ac:dyDescent="0.2">
      <c r="E1050" s="35"/>
    </row>
    <row r="1051" spans="5:5" ht="16" x14ac:dyDescent="0.2">
      <c r="E1051" s="35"/>
    </row>
    <row r="1052" spans="5:5" ht="16" x14ac:dyDescent="0.2">
      <c r="E1052" s="35"/>
    </row>
    <row r="1053" spans="5:5" ht="16" x14ac:dyDescent="0.2">
      <c r="E1053" s="35"/>
    </row>
    <row r="1054" spans="5:5" ht="16" x14ac:dyDescent="0.2">
      <c r="E1054" s="35"/>
    </row>
    <row r="1055" spans="5:5" ht="16" x14ac:dyDescent="0.2">
      <c r="E1055" s="35"/>
    </row>
    <row r="1056" spans="5:5" ht="16" x14ac:dyDescent="0.2">
      <c r="E1056" s="35"/>
    </row>
    <row r="1057" spans="5:5" ht="16" x14ac:dyDescent="0.2">
      <c r="E1057" s="35"/>
    </row>
    <row r="1058" spans="5:5" ht="16" x14ac:dyDescent="0.2">
      <c r="E1058" s="35"/>
    </row>
    <row r="1059" spans="5:5" ht="16" x14ac:dyDescent="0.2">
      <c r="E1059" s="35"/>
    </row>
    <row r="1060" spans="5:5" ht="16" x14ac:dyDescent="0.2">
      <c r="E1060" s="35"/>
    </row>
    <row r="1061" spans="5:5" ht="16" x14ac:dyDescent="0.2">
      <c r="E1061" s="35"/>
    </row>
    <row r="1062" spans="5:5" ht="16" x14ac:dyDescent="0.2">
      <c r="E1062" s="35"/>
    </row>
    <row r="1063" spans="5:5" ht="16" x14ac:dyDescent="0.2">
      <c r="E1063" s="35"/>
    </row>
    <row r="1064" spans="5:5" ht="16" x14ac:dyDescent="0.2">
      <c r="E1064" s="35"/>
    </row>
    <row r="1065" spans="5:5" ht="16" x14ac:dyDescent="0.2">
      <c r="E1065" s="35"/>
    </row>
    <row r="1066" spans="5:5" ht="16" x14ac:dyDescent="0.2">
      <c r="E1066" s="35"/>
    </row>
    <row r="1067" spans="5:5" ht="16" x14ac:dyDescent="0.2">
      <c r="E1067" s="35"/>
    </row>
    <row r="1068" spans="5:5" ht="16" x14ac:dyDescent="0.2">
      <c r="E1068" s="35"/>
    </row>
    <row r="1069" spans="5:5" ht="16" x14ac:dyDescent="0.2">
      <c r="E1069" s="35"/>
    </row>
    <row r="1070" spans="5:5" ht="16" x14ac:dyDescent="0.2">
      <c r="E1070" s="35"/>
    </row>
    <row r="1071" spans="5:5" ht="16" x14ac:dyDescent="0.2">
      <c r="E1071" s="35"/>
    </row>
    <row r="1072" spans="5:5" ht="16" x14ac:dyDescent="0.2">
      <c r="E1072" s="35"/>
    </row>
    <row r="1073" spans="5:5" ht="16" x14ac:dyDescent="0.2">
      <c r="E1073" s="35"/>
    </row>
    <row r="1074" spans="5:5" ht="16" x14ac:dyDescent="0.2">
      <c r="E1074" s="35"/>
    </row>
    <row r="1075" spans="5:5" ht="16" x14ac:dyDescent="0.2">
      <c r="E1075" s="35"/>
    </row>
    <row r="1076" spans="5:5" ht="16" x14ac:dyDescent="0.2">
      <c r="E1076" s="35"/>
    </row>
    <row r="1077" spans="5:5" ht="16" x14ac:dyDescent="0.2">
      <c r="E1077" s="35"/>
    </row>
    <row r="1078" spans="5:5" ht="16" x14ac:dyDescent="0.2">
      <c r="E1078" s="35"/>
    </row>
    <row r="1079" spans="5:5" ht="16" x14ac:dyDescent="0.2">
      <c r="E1079" s="35"/>
    </row>
    <row r="1080" spans="5:5" ht="16" x14ac:dyDescent="0.2">
      <c r="E1080" s="35"/>
    </row>
    <row r="1081" spans="5:5" ht="16" x14ac:dyDescent="0.2">
      <c r="E1081" s="35"/>
    </row>
    <row r="1082" spans="5:5" ht="16" x14ac:dyDescent="0.2">
      <c r="E1082" s="35"/>
    </row>
    <row r="1083" spans="5:5" ht="16" x14ac:dyDescent="0.2">
      <c r="E1083" s="35"/>
    </row>
    <row r="1084" spans="5:5" ht="16" x14ac:dyDescent="0.2">
      <c r="E1084" s="35"/>
    </row>
    <row r="1085" spans="5:5" ht="16" x14ac:dyDescent="0.2">
      <c r="E1085" s="35"/>
    </row>
    <row r="1086" spans="5:5" ht="16" x14ac:dyDescent="0.2">
      <c r="E1086" s="35"/>
    </row>
    <row r="1087" spans="5:5" ht="16" x14ac:dyDescent="0.2">
      <c r="E1087" s="35"/>
    </row>
    <row r="1088" spans="5:5" ht="16" x14ac:dyDescent="0.2">
      <c r="E1088" s="35"/>
    </row>
    <row r="1089" spans="5:5" ht="16" x14ac:dyDescent="0.2">
      <c r="E1089" s="35"/>
    </row>
    <row r="1090" spans="5:5" ht="16" x14ac:dyDescent="0.2">
      <c r="E1090" s="35"/>
    </row>
    <row r="1091" spans="5:5" ht="16" x14ac:dyDescent="0.2">
      <c r="E1091" s="35"/>
    </row>
    <row r="1092" spans="5:5" ht="16" x14ac:dyDescent="0.2">
      <c r="E1092" s="35"/>
    </row>
    <row r="1093" spans="5:5" ht="16" x14ac:dyDescent="0.2">
      <c r="E1093" s="35"/>
    </row>
    <row r="1094" spans="5:5" ht="16" x14ac:dyDescent="0.2">
      <c r="E1094" s="35"/>
    </row>
    <row r="1095" spans="5:5" ht="16" x14ac:dyDescent="0.2">
      <c r="E1095" s="35"/>
    </row>
    <row r="1096" spans="5:5" ht="16" x14ac:dyDescent="0.2">
      <c r="E1096" s="35"/>
    </row>
    <row r="1097" spans="5:5" ht="16" x14ac:dyDescent="0.2">
      <c r="E1097" s="35"/>
    </row>
    <row r="1098" spans="5:5" ht="16" x14ac:dyDescent="0.2">
      <c r="E1098" s="35"/>
    </row>
    <row r="1099" spans="5:5" ht="16" x14ac:dyDescent="0.2">
      <c r="E1099" s="35"/>
    </row>
    <row r="1100" spans="5:5" ht="16" x14ac:dyDescent="0.2">
      <c r="E1100" s="35"/>
    </row>
    <row r="1101" spans="5:5" ht="16" x14ac:dyDescent="0.2">
      <c r="E1101" s="35"/>
    </row>
    <row r="1102" spans="5:5" ht="16" x14ac:dyDescent="0.2">
      <c r="E1102" s="35"/>
    </row>
    <row r="1103" spans="5:5" ht="16" x14ac:dyDescent="0.2">
      <c r="E1103" s="35"/>
    </row>
    <row r="1104" spans="5:5" ht="16" x14ac:dyDescent="0.2">
      <c r="E1104" s="35"/>
    </row>
    <row r="1105" spans="5:5" ht="16" x14ac:dyDescent="0.2">
      <c r="E1105" s="35"/>
    </row>
    <row r="1106" spans="5:5" ht="16" x14ac:dyDescent="0.2">
      <c r="E1106" s="35"/>
    </row>
    <row r="1107" spans="5:5" ht="16" x14ac:dyDescent="0.2">
      <c r="E1107" s="35"/>
    </row>
    <row r="1108" spans="5:5" ht="16" x14ac:dyDescent="0.2">
      <c r="E1108" s="35"/>
    </row>
    <row r="1109" spans="5:5" ht="16" x14ac:dyDescent="0.2">
      <c r="E1109" s="35"/>
    </row>
    <row r="1110" spans="5:5" ht="16" x14ac:dyDescent="0.2">
      <c r="E1110" s="35"/>
    </row>
    <row r="1111" spans="5:5" ht="16" x14ac:dyDescent="0.2">
      <c r="E1111" s="35"/>
    </row>
    <row r="1112" spans="5:5" ht="16" x14ac:dyDescent="0.2">
      <c r="E1112" s="35"/>
    </row>
    <row r="1113" spans="5:5" ht="16" x14ac:dyDescent="0.2">
      <c r="E1113" s="35"/>
    </row>
    <row r="1114" spans="5:5" ht="16" x14ac:dyDescent="0.2">
      <c r="E1114" s="35"/>
    </row>
    <row r="1115" spans="5:5" ht="16" x14ac:dyDescent="0.2">
      <c r="E1115" s="35"/>
    </row>
    <row r="1116" spans="5:5" ht="16" x14ac:dyDescent="0.2">
      <c r="E1116" s="35"/>
    </row>
    <row r="1117" spans="5:5" ht="16" x14ac:dyDescent="0.2">
      <c r="E1117" s="35"/>
    </row>
    <row r="1118" spans="5:5" ht="16" x14ac:dyDescent="0.2">
      <c r="E1118" s="35"/>
    </row>
    <row r="1119" spans="5:5" ht="16" x14ac:dyDescent="0.2">
      <c r="E1119" s="35"/>
    </row>
    <row r="1120" spans="5:5" ht="16" x14ac:dyDescent="0.2">
      <c r="E1120" s="35"/>
    </row>
    <row r="1121" spans="5:5" ht="16" x14ac:dyDescent="0.2">
      <c r="E1121" s="35"/>
    </row>
    <row r="1122" spans="5:5" ht="16" x14ac:dyDescent="0.2">
      <c r="E1122" s="35"/>
    </row>
    <row r="1123" spans="5:5" ht="16" x14ac:dyDescent="0.2">
      <c r="E1123" s="35"/>
    </row>
    <row r="1124" spans="5:5" ht="16" x14ac:dyDescent="0.2">
      <c r="E1124" s="35"/>
    </row>
    <row r="1125" spans="5:5" ht="16" x14ac:dyDescent="0.2">
      <c r="E1125" s="35"/>
    </row>
    <row r="1126" spans="5:5" ht="16" x14ac:dyDescent="0.2">
      <c r="E1126" s="35"/>
    </row>
    <row r="1127" spans="5:5" ht="16" x14ac:dyDescent="0.2">
      <c r="E1127" s="35"/>
    </row>
    <row r="1128" spans="5:5" ht="16" x14ac:dyDescent="0.2">
      <c r="E1128" s="35"/>
    </row>
    <row r="1129" spans="5:5" ht="16" x14ac:dyDescent="0.2">
      <c r="E1129" s="35"/>
    </row>
    <row r="1130" spans="5:5" ht="16" x14ac:dyDescent="0.2">
      <c r="E1130" s="35"/>
    </row>
    <row r="1131" spans="5:5" ht="16" x14ac:dyDescent="0.2">
      <c r="E1131" s="35"/>
    </row>
    <row r="1132" spans="5:5" ht="16" x14ac:dyDescent="0.2">
      <c r="E1132" s="35"/>
    </row>
    <row r="1133" spans="5:5" ht="16" x14ac:dyDescent="0.2">
      <c r="E1133" s="35"/>
    </row>
    <row r="1134" spans="5:5" ht="16" x14ac:dyDescent="0.2">
      <c r="E1134" s="35"/>
    </row>
    <row r="1135" spans="5:5" ht="16" x14ac:dyDescent="0.2">
      <c r="E1135" s="35"/>
    </row>
    <row r="1136" spans="5:5" ht="16" x14ac:dyDescent="0.2">
      <c r="E1136" s="35"/>
    </row>
    <row r="1137" spans="5:5" ht="16" x14ac:dyDescent="0.2">
      <c r="E1137" s="35"/>
    </row>
    <row r="1138" spans="5:5" ht="16" x14ac:dyDescent="0.2">
      <c r="E1138" s="35"/>
    </row>
    <row r="1139" spans="5:5" ht="16" x14ac:dyDescent="0.2">
      <c r="E1139" s="35"/>
    </row>
    <row r="1140" spans="5:5" ht="16" x14ac:dyDescent="0.2">
      <c r="E1140" s="35"/>
    </row>
    <row r="1141" spans="5:5" ht="16" x14ac:dyDescent="0.2">
      <c r="E1141" s="35"/>
    </row>
    <row r="1142" spans="5:5" ht="16" x14ac:dyDescent="0.2">
      <c r="E1142" s="35"/>
    </row>
    <row r="1143" spans="5:5" ht="16" x14ac:dyDescent="0.2">
      <c r="E1143" s="35"/>
    </row>
    <row r="1144" spans="5:5" ht="16" x14ac:dyDescent="0.2">
      <c r="E1144" s="35"/>
    </row>
    <row r="1145" spans="5:5" ht="16" x14ac:dyDescent="0.2">
      <c r="E1145" s="35"/>
    </row>
    <row r="1146" spans="5:5" ht="16" x14ac:dyDescent="0.2">
      <c r="E1146" s="35"/>
    </row>
    <row r="1147" spans="5:5" ht="16" x14ac:dyDescent="0.2">
      <c r="E1147" s="35"/>
    </row>
    <row r="1148" spans="5:5" ht="16" x14ac:dyDescent="0.2">
      <c r="E1148" s="35"/>
    </row>
    <row r="1149" spans="5:5" ht="16" x14ac:dyDescent="0.2">
      <c r="E1149" s="35"/>
    </row>
    <row r="1150" spans="5:5" ht="16" x14ac:dyDescent="0.2">
      <c r="E1150" s="35"/>
    </row>
    <row r="1151" spans="5:5" ht="16" x14ac:dyDescent="0.2">
      <c r="E1151" s="35"/>
    </row>
    <row r="1152" spans="5:5" ht="16" x14ac:dyDescent="0.2">
      <c r="E1152" s="35"/>
    </row>
    <row r="1153" spans="5:5" ht="16" x14ac:dyDescent="0.2">
      <c r="E1153" s="35"/>
    </row>
    <row r="1154" spans="5:5" ht="16" x14ac:dyDescent="0.2">
      <c r="E1154" s="35"/>
    </row>
    <row r="1155" spans="5:5" ht="16" x14ac:dyDescent="0.2">
      <c r="E1155" s="35"/>
    </row>
    <row r="1156" spans="5:5" ht="16" x14ac:dyDescent="0.2">
      <c r="E1156" s="35"/>
    </row>
    <row r="1157" spans="5:5" ht="16" x14ac:dyDescent="0.2">
      <c r="E1157" s="35"/>
    </row>
    <row r="1158" spans="5:5" ht="16" x14ac:dyDescent="0.2">
      <c r="E1158" s="35"/>
    </row>
    <row r="1159" spans="5:5" ht="16" x14ac:dyDescent="0.2">
      <c r="E1159" s="35"/>
    </row>
    <row r="1160" spans="5:5" ht="16" x14ac:dyDescent="0.2">
      <c r="E1160" s="35"/>
    </row>
    <row r="1161" spans="5:5" ht="16" x14ac:dyDescent="0.2">
      <c r="E1161" s="35"/>
    </row>
    <row r="1162" spans="5:5" ht="16" x14ac:dyDescent="0.2">
      <c r="E1162" s="35"/>
    </row>
    <row r="1163" spans="5:5" ht="16" x14ac:dyDescent="0.2">
      <c r="E1163" s="35"/>
    </row>
    <row r="1164" spans="5:5" ht="16" x14ac:dyDescent="0.2">
      <c r="E1164" s="35"/>
    </row>
    <row r="1165" spans="5:5" ht="16" x14ac:dyDescent="0.2">
      <c r="E1165" s="35"/>
    </row>
    <row r="1166" spans="5:5" ht="16" x14ac:dyDescent="0.2">
      <c r="E1166" s="35"/>
    </row>
    <row r="1167" spans="5:5" ht="16" x14ac:dyDescent="0.2">
      <c r="E1167" s="35"/>
    </row>
    <row r="1168" spans="5:5" ht="16" x14ac:dyDescent="0.2">
      <c r="E1168" s="35"/>
    </row>
    <row r="1169" spans="5:5" ht="16" x14ac:dyDescent="0.2">
      <c r="E1169" s="35"/>
    </row>
    <row r="1170" spans="5:5" ht="16" x14ac:dyDescent="0.2">
      <c r="E1170" s="35"/>
    </row>
    <row r="1171" spans="5:5" ht="16" x14ac:dyDescent="0.2">
      <c r="E1171" s="35"/>
    </row>
    <row r="1172" spans="5:5" ht="16" x14ac:dyDescent="0.2">
      <c r="E1172" s="35"/>
    </row>
    <row r="1173" spans="5:5" ht="16" x14ac:dyDescent="0.2">
      <c r="E1173" s="35"/>
    </row>
    <row r="1174" spans="5:5" ht="16" x14ac:dyDescent="0.2">
      <c r="E1174" s="35"/>
    </row>
    <row r="1175" spans="5:5" ht="16" x14ac:dyDescent="0.2">
      <c r="E1175" s="35"/>
    </row>
    <row r="1176" spans="5:5" ht="16" x14ac:dyDescent="0.2">
      <c r="E1176" s="35"/>
    </row>
    <row r="1177" spans="5:5" ht="16" x14ac:dyDescent="0.2">
      <c r="E1177" s="35"/>
    </row>
    <row r="1178" spans="5:5" ht="16" x14ac:dyDescent="0.2">
      <c r="E1178" s="35"/>
    </row>
    <row r="1179" spans="5:5" ht="16" x14ac:dyDescent="0.2">
      <c r="E1179" s="35"/>
    </row>
    <row r="1180" spans="5:5" ht="16" x14ac:dyDescent="0.2">
      <c r="E1180" s="35"/>
    </row>
    <row r="1181" spans="5:5" ht="16" x14ac:dyDescent="0.2">
      <c r="E1181" s="35"/>
    </row>
    <row r="1182" spans="5:5" ht="16" x14ac:dyDescent="0.2">
      <c r="E1182" s="35"/>
    </row>
    <row r="1183" spans="5:5" ht="16" x14ac:dyDescent="0.2">
      <c r="E1183" s="35"/>
    </row>
    <row r="1184" spans="5:5" ht="16" x14ac:dyDescent="0.2">
      <c r="E1184" s="35"/>
    </row>
    <row r="1185" spans="5:5" ht="16" x14ac:dyDescent="0.2">
      <c r="E1185" s="35"/>
    </row>
    <row r="1186" spans="5:5" ht="16" x14ac:dyDescent="0.2">
      <c r="E1186" s="35"/>
    </row>
    <row r="1187" spans="5:5" ht="16" x14ac:dyDescent="0.2">
      <c r="E1187" s="35"/>
    </row>
    <row r="1188" spans="5:5" ht="16" x14ac:dyDescent="0.2">
      <c r="E1188" s="35"/>
    </row>
    <row r="1189" spans="5:5" ht="16" x14ac:dyDescent="0.2">
      <c r="E1189" s="35"/>
    </row>
    <row r="1190" spans="5:5" ht="16" x14ac:dyDescent="0.2">
      <c r="E1190" s="35"/>
    </row>
    <row r="1191" spans="5:5" ht="16" x14ac:dyDescent="0.2">
      <c r="E1191" s="35"/>
    </row>
    <row r="1192" spans="5:5" ht="16" x14ac:dyDescent="0.2">
      <c r="E1192" s="35"/>
    </row>
    <row r="1193" spans="5:5" ht="16" x14ac:dyDescent="0.2">
      <c r="E1193" s="35"/>
    </row>
    <row r="1194" spans="5:5" ht="16" x14ac:dyDescent="0.2">
      <c r="E1194" s="35"/>
    </row>
    <row r="1195" spans="5:5" ht="16" x14ac:dyDescent="0.2">
      <c r="E1195" s="35"/>
    </row>
    <row r="1196" spans="5:5" ht="16" x14ac:dyDescent="0.2">
      <c r="E1196" s="35"/>
    </row>
    <row r="1197" spans="5:5" ht="16" x14ac:dyDescent="0.2">
      <c r="E1197" s="35"/>
    </row>
    <row r="1198" spans="5:5" ht="16" x14ac:dyDescent="0.2">
      <c r="E1198" s="35"/>
    </row>
    <row r="1199" spans="5:5" ht="16" x14ac:dyDescent="0.2">
      <c r="E1199" s="35"/>
    </row>
    <row r="1200" spans="5:5" ht="16" x14ac:dyDescent="0.2">
      <c r="E1200" s="35"/>
    </row>
    <row r="1201" spans="5:5" ht="16" x14ac:dyDescent="0.2">
      <c r="E1201" s="35"/>
    </row>
    <row r="1202" spans="5:5" ht="16" x14ac:dyDescent="0.2">
      <c r="E1202" s="35"/>
    </row>
    <row r="1203" spans="5:5" ht="16" x14ac:dyDescent="0.2">
      <c r="E1203" s="35"/>
    </row>
    <row r="1204" spans="5:5" ht="16" x14ac:dyDescent="0.2">
      <c r="E1204" s="35"/>
    </row>
    <row r="1205" spans="5:5" ht="16" x14ac:dyDescent="0.2">
      <c r="E1205" s="35"/>
    </row>
    <row r="1206" spans="5:5" ht="16" x14ac:dyDescent="0.2">
      <c r="E1206" s="35"/>
    </row>
    <row r="1207" spans="5:5" ht="16" x14ac:dyDescent="0.2">
      <c r="E1207" s="35"/>
    </row>
    <row r="1208" spans="5:5" ht="16" x14ac:dyDescent="0.2">
      <c r="E1208" s="35"/>
    </row>
    <row r="1209" spans="5:5" ht="16" x14ac:dyDescent="0.2">
      <c r="E1209" s="35"/>
    </row>
    <row r="1210" spans="5:5" ht="16" x14ac:dyDescent="0.2">
      <c r="E1210" s="35"/>
    </row>
    <row r="1211" spans="5:5" ht="16" x14ac:dyDescent="0.2">
      <c r="E1211" s="35"/>
    </row>
    <row r="1212" spans="5:5" ht="16" x14ac:dyDescent="0.2">
      <c r="E1212" s="35"/>
    </row>
    <row r="1213" spans="5:5" ht="16" x14ac:dyDescent="0.2">
      <c r="E1213" s="35"/>
    </row>
    <row r="1214" spans="5:5" ht="16" x14ac:dyDescent="0.2">
      <c r="E1214" s="35"/>
    </row>
    <row r="1215" spans="5:5" ht="16" x14ac:dyDescent="0.2">
      <c r="E1215" s="35"/>
    </row>
    <row r="1216" spans="5:5" ht="16" x14ac:dyDescent="0.2">
      <c r="E1216" s="35"/>
    </row>
    <row r="1217" spans="5:5" ht="16" x14ac:dyDescent="0.2">
      <c r="E1217" s="35"/>
    </row>
    <row r="1218" spans="5:5" ht="16" x14ac:dyDescent="0.2">
      <c r="E1218" s="35"/>
    </row>
    <row r="1219" spans="5:5" ht="16" x14ac:dyDescent="0.2">
      <c r="E1219" s="35"/>
    </row>
    <row r="1220" spans="5:5" ht="16" x14ac:dyDescent="0.2">
      <c r="E1220" s="35"/>
    </row>
    <row r="1221" spans="5:5" ht="16" x14ac:dyDescent="0.2">
      <c r="E1221" s="35"/>
    </row>
    <row r="1222" spans="5:5" ht="16" x14ac:dyDescent="0.2">
      <c r="E1222" s="35"/>
    </row>
    <row r="1223" spans="5:5" ht="16" x14ac:dyDescent="0.2">
      <c r="E1223" s="35"/>
    </row>
    <row r="1224" spans="5:5" ht="16" x14ac:dyDescent="0.2">
      <c r="E1224" s="35"/>
    </row>
    <row r="1225" spans="5:5" ht="16" x14ac:dyDescent="0.2">
      <c r="E1225" s="35"/>
    </row>
    <row r="1226" spans="5:5" ht="16" x14ac:dyDescent="0.2">
      <c r="E1226" s="35"/>
    </row>
    <row r="1227" spans="5:5" ht="16" x14ac:dyDescent="0.2">
      <c r="E1227" s="35"/>
    </row>
    <row r="1228" spans="5:5" ht="16" x14ac:dyDescent="0.2">
      <c r="E1228" s="35"/>
    </row>
    <row r="1229" spans="5:5" ht="16" x14ac:dyDescent="0.2">
      <c r="E1229" s="35"/>
    </row>
    <row r="1230" spans="5:5" ht="16" x14ac:dyDescent="0.2">
      <c r="E1230" s="35"/>
    </row>
    <row r="1231" spans="5:5" ht="16" x14ac:dyDescent="0.2">
      <c r="E1231" s="35"/>
    </row>
    <row r="1232" spans="5:5" ht="16" x14ac:dyDescent="0.2">
      <c r="E1232" s="35"/>
    </row>
    <row r="1233" spans="5:5" ht="16" x14ac:dyDescent="0.2">
      <c r="E1233" s="35"/>
    </row>
    <row r="1234" spans="5:5" ht="16" x14ac:dyDescent="0.2">
      <c r="E1234" s="35"/>
    </row>
    <row r="1235" spans="5:5" ht="16" x14ac:dyDescent="0.2">
      <c r="E1235" s="35"/>
    </row>
    <row r="1236" spans="5:5" ht="16" x14ac:dyDescent="0.2">
      <c r="E1236" s="35"/>
    </row>
  </sheetData>
  <autoFilter ref="A3:F11" xr:uid="{00000000-0009-0000-0000-000001000000}"/>
  <mergeCells count="2">
    <mergeCell ref="A1:F2"/>
    <mergeCell ref="A38:D38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'قاعدة بيانات'!$C$8:$C$11</xm:f>
          </x14:formula1>
          <xm:sqref>E3:E1236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4"/>
  <sheetViews>
    <sheetView rightToLeft="1" workbookViewId="0">
      <selection sqref="A1:H1"/>
    </sheetView>
  </sheetViews>
  <sheetFormatPr baseColWidth="10" defaultColWidth="11.1640625" defaultRowHeight="15" customHeight="1" x14ac:dyDescent="0.2"/>
  <cols>
    <col min="1" max="2" width="6.5" customWidth="1"/>
    <col min="3" max="3" width="34.5" customWidth="1"/>
    <col min="4" max="4" width="8.6640625" customWidth="1"/>
    <col min="5" max="5" width="10.83203125" customWidth="1"/>
    <col min="6" max="7" width="11" customWidth="1"/>
    <col min="8" max="8" width="10.6640625" customWidth="1"/>
    <col min="9" max="26" width="6.5" customWidth="1"/>
  </cols>
  <sheetData>
    <row r="1" spans="1:9" ht="31.5" customHeight="1" x14ac:dyDescent="0.2">
      <c r="A1" s="93" t="s">
        <v>62</v>
      </c>
      <c r="B1" s="77"/>
      <c r="C1" s="77"/>
      <c r="D1" s="77"/>
      <c r="E1" s="77"/>
      <c r="F1" s="77"/>
      <c r="G1" s="77"/>
      <c r="H1" s="65"/>
      <c r="I1" s="36"/>
    </row>
    <row r="2" spans="1:9" ht="51.75" customHeight="1" x14ac:dyDescent="0.2">
      <c r="A2" s="37" t="s">
        <v>63</v>
      </c>
      <c r="B2" s="94" t="s">
        <v>64</v>
      </c>
      <c r="C2" s="65"/>
      <c r="D2" s="37" t="s">
        <v>65</v>
      </c>
      <c r="E2" s="37" t="s">
        <v>66</v>
      </c>
      <c r="F2" s="37" t="s">
        <v>67</v>
      </c>
      <c r="G2" s="37" t="s">
        <v>68</v>
      </c>
      <c r="H2" s="37" t="s">
        <v>69</v>
      </c>
      <c r="I2" s="36"/>
    </row>
    <row r="3" spans="1:9" ht="18.75" customHeight="1" x14ac:dyDescent="0.2">
      <c r="A3" s="38">
        <v>1</v>
      </c>
      <c r="B3" s="95" t="s">
        <v>24</v>
      </c>
      <c r="C3" s="65"/>
      <c r="D3" s="39">
        <v>0</v>
      </c>
      <c r="E3" s="39">
        <v>0</v>
      </c>
      <c r="F3" s="39">
        <f t="shared" ref="F3:F8" si="0">(D3+E3)</f>
        <v>0</v>
      </c>
      <c r="G3" s="40">
        <v>0</v>
      </c>
      <c r="H3" s="41">
        <v>0</v>
      </c>
      <c r="I3" s="36"/>
    </row>
    <row r="4" spans="1:9" ht="20.25" customHeight="1" x14ac:dyDescent="0.2">
      <c r="A4" s="42">
        <v>2</v>
      </c>
      <c r="B4" s="95" t="s">
        <v>26</v>
      </c>
      <c r="C4" s="65"/>
      <c r="D4" s="39">
        <v>0</v>
      </c>
      <c r="E4" s="39">
        <v>0</v>
      </c>
      <c r="F4" s="39">
        <f t="shared" si="0"/>
        <v>0</v>
      </c>
      <c r="G4" s="40">
        <v>0</v>
      </c>
      <c r="H4" s="41">
        <v>0</v>
      </c>
      <c r="I4" s="36"/>
    </row>
    <row r="5" spans="1:9" ht="24.75" customHeight="1" x14ac:dyDescent="0.2">
      <c r="A5" s="43">
        <v>3</v>
      </c>
      <c r="B5" s="95" t="s">
        <v>27</v>
      </c>
      <c r="C5" s="65"/>
      <c r="D5" s="39">
        <v>0</v>
      </c>
      <c r="E5" s="39">
        <v>0</v>
      </c>
      <c r="F5" s="39">
        <f t="shared" si="0"/>
        <v>0</v>
      </c>
      <c r="G5" s="40">
        <v>0</v>
      </c>
      <c r="H5" s="41">
        <v>0</v>
      </c>
      <c r="I5" s="36"/>
    </row>
    <row r="6" spans="1:9" ht="25.5" customHeight="1" x14ac:dyDescent="0.2">
      <c r="A6" s="43">
        <v>4</v>
      </c>
      <c r="B6" s="95" t="s">
        <v>29</v>
      </c>
      <c r="C6" s="65"/>
      <c r="D6" s="39">
        <v>0</v>
      </c>
      <c r="E6" s="39">
        <v>0</v>
      </c>
      <c r="F6" s="39">
        <f t="shared" si="0"/>
        <v>0</v>
      </c>
      <c r="G6" s="40">
        <v>0</v>
      </c>
      <c r="H6" s="41">
        <v>0</v>
      </c>
      <c r="I6" s="36"/>
    </row>
    <row r="7" spans="1:9" ht="25.5" customHeight="1" x14ac:dyDescent="0.2">
      <c r="A7" s="43">
        <v>5</v>
      </c>
      <c r="B7" s="95" t="s">
        <v>31</v>
      </c>
      <c r="C7" s="65"/>
      <c r="D7" s="39">
        <v>0</v>
      </c>
      <c r="E7" s="39">
        <v>0</v>
      </c>
      <c r="F7" s="39">
        <f t="shared" si="0"/>
        <v>0</v>
      </c>
      <c r="G7" s="40">
        <v>0</v>
      </c>
      <c r="H7" s="41">
        <v>0</v>
      </c>
      <c r="I7" s="36"/>
    </row>
    <row r="8" spans="1:9" ht="22.5" customHeight="1" x14ac:dyDescent="0.2">
      <c r="A8" s="43">
        <v>6</v>
      </c>
      <c r="B8" s="95" t="s">
        <v>33</v>
      </c>
      <c r="C8" s="65"/>
      <c r="D8" s="39">
        <v>0</v>
      </c>
      <c r="E8" s="39">
        <v>0</v>
      </c>
      <c r="F8" s="39">
        <f t="shared" si="0"/>
        <v>0</v>
      </c>
      <c r="G8" s="40">
        <v>0</v>
      </c>
      <c r="H8" s="41">
        <v>0</v>
      </c>
      <c r="I8" s="36"/>
    </row>
    <row r="9" spans="1:9" ht="15.75" customHeight="1" x14ac:dyDescent="0.2">
      <c r="A9" s="92"/>
      <c r="B9" s="96" t="s">
        <v>70</v>
      </c>
      <c r="C9" s="77"/>
      <c r="D9" s="77"/>
      <c r="E9" s="77"/>
      <c r="F9" s="77"/>
      <c r="G9" s="65"/>
      <c r="H9" s="41">
        <v>3910000</v>
      </c>
      <c r="I9" s="36"/>
    </row>
    <row r="10" spans="1:9" ht="18.75" customHeight="1" x14ac:dyDescent="0.2">
      <c r="A10" s="61"/>
      <c r="B10" s="96" t="s">
        <v>71</v>
      </c>
      <c r="C10" s="77"/>
      <c r="D10" s="77"/>
      <c r="E10" s="77"/>
      <c r="F10" s="77"/>
      <c r="G10" s="65"/>
      <c r="H10" s="41">
        <v>3910000</v>
      </c>
      <c r="I10" s="36"/>
    </row>
    <row r="11" spans="1:9" ht="18" customHeight="1" x14ac:dyDescent="0.2">
      <c r="A11" s="61"/>
      <c r="B11" s="96" t="s">
        <v>72</v>
      </c>
      <c r="C11" s="77"/>
      <c r="D11" s="77"/>
      <c r="E11" s="77"/>
      <c r="F11" s="77"/>
      <c r="G11" s="65"/>
      <c r="H11" s="41">
        <f>H9*15/100</f>
        <v>586500</v>
      </c>
      <c r="I11" s="36"/>
    </row>
    <row r="12" spans="1:9" ht="24" customHeight="1" x14ac:dyDescent="0.2">
      <c r="A12" s="62"/>
      <c r="B12" s="96" t="s">
        <v>73</v>
      </c>
      <c r="C12" s="77"/>
      <c r="D12" s="77"/>
      <c r="E12" s="77"/>
      <c r="F12" s="77"/>
      <c r="G12" s="65"/>
      <c r="H12" s="41">
        <f>H10+H11</f>
        <v>4496500</v>
      </c>
    </row>
    <row r="13" spans="1:9" ht="15.75" customHeight="1" x14ac:dyDescent="0.2"/>
    <row r="14" spans="1:9" ht="15.75" customHeight="1" x14ac:dyDescent="0.2"/>
    <row r="15" spans="1:9" ht="15.75" customHeight="1" x14ac:dyDescent="0.2"/>
    <row r="16" spans="1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mergeCells count="13">
    <mergeCell ref="A9:A12"/>
    <mergeCell ref="A1:H1"/>
    <mergeCell ref="B2:C2"/>
    <mergeCell ref="B3:C3"/>
    <mergeCell ref="B4:C4"/>
    <mergeCell ref="B5:C5"/>
    <mergeCell ref="B6:C6"/>
    <mergeCell ref="B7:C7"/>
    <mergeCell ref="B8:C8"/>
    <mergeCell ref="B9:G9"/>
    <mergeCell ref="B10:G10"/>
    <mergeCell ref="B11:G11"/>
    <mergeCell ref="B12:G1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999"/>
  <sheetViews>
    <sheetView rightToLeft="1" workbookViewId="0">
      <selection activeCell="E5" sqref="E5:E12"/>
    </sheetView>
  </sheetViews>
  <sheetFormatPr baseColWidth="10" defaultColWidth="11.1640625" defaultRowHeight="15" customHeight="1" x14ac:dyDescent="0.2"/>
  <cols>
    <col min="1" max="1" width="18.5" customWidth="1"/>
    <col min="2" max="2" width="40.33203125" customWidth="1"/>
    <col min="3" max="3" width="22.1640625" customWidth="1"/>
    <col min="4" max="4" width="21.5" customWidth="1"/>
    <col min="5" max="5" width="100.83203125" customWidth="1"/>
    <col min="6" max="6" width="25.6640625" customWidth="1"/>
    <col min="7" max="18" width="8.6640625" customWidth="1"/>
  </cols>
  <sheetData>
    <row r="1" spans="1:18" ht="33.75" customHeight="1" x14ac:dyDescent="0.6">
      <c r="A1" s="97"/>
      <c r="B1" s="84"/>
      <c r="C1" s="84"/>
      <c r="D1" s="84"/>
      <c r="E1" s="84"/>
      <c r="F1" s="98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</row>
    <row r="2" spans="1:18" ht="33.75" customHeight="1" x14ac:dyDescent="0.6">
      <c r="A2" s="73"/>
      <c r="B2" s="86"/>
      <c r="C2" s="86"/>
      <c r="D2" s="86"/>
      <c r="E2" s="86"/>
      <c r="F2" s="99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</row>
    <row r="3" spans="1:18" ht="33.75" customHeight="1" x14ac:dyDescent="0.6">
      <c r="A3" s="93" t="s">
        <v>74</v>
      </c>
      <c r="B3" s="77"/>
      <c r="C3" s="77"/>
      <c r="D3" s="77"/>
      <c r="E3" s="77"/>
      <c r="F3" s="6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</row>
    <row r="4" spans="1:18" ht="33.75" customHeight="1" x14ac:dyDescent="0.6">
      <c r="A4" s="37" t="s">
        <v>63</v>
      </c>
      <c r="B4" s="94" t="s">
        <v>64</v>
      </c>
      <c r="C4" s="65"/>
      <c r="D4" s="37" t="s">
        <v>75</v>
      </c>
      <c r="E4" s="37" t="s">
        <v>76</v>
      </c>
      <c r="F4" s="37" t="s">
        <v>77</v>
      </c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</row>
    <row r="5" spans="1:18" ht="33.75" customHeight="1" x14ac:dyDescent="0.6">
      <c r="A5" s="38">
        <v>1</v>
      </c>
      <c r="B5" s="95" t="s">
        <v>24</v>
      </c>
      <c r="C5" s="65"/>
      <c r="D5" s="39">
        <v>0</v>
      </c>
      <c r="E5" s="39">
        <v>0</v>
      </c>
      <c r="F5" s="39">
        <f t="shared" ref="F5:F12" si="0">(D5*E5)</f>
        <v>0</v>
      </c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</row>
    <row r="6" spans="1:18" ht="33.75" customHeight="1" x14ac:dyDescent="0.6">
      <c r="A6" s="42">
        <v>2</v>
      </c>
      <c r="B6" s="95" t="s">
        <v>26</v>
      </c>
      <c r="C6" s="65"/>
      <c r="D6" s="39">
        <v>0</v>
      </c>
      <c r="E6" s="39">
        <v>0</v>
      </c>
      <c r="F6" s="39">
        <f t="shared" si="0"/>
        <v>0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</row>
    <row r="7" spans="1:18" ht="33.75" customHeight="1" x14ac:dyDescent="0.6">
      <c r="A7" s="43">
        <v>3</v>
      </c>
      <c r="B7" s="95" t="s">
        <v>27</v>
      </c>
      <c r="C7" s="65"/>
      <c r="D7" s="39">
        <v>0</v>
      </c>
      <c r="E7" s="39">
        <v>0</v>
      </c>
      <c r="F7" s="39">
        <f t="shared" si="0"/>
        <v>0</v>
      </c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</row>
    <row r="8" spans="1:18" ht="33.75" customHeight="1" x14ac:dyDescent="0.6">
      <c r="A8" s="43">
        <v>4</v>
      </c>
      <c r="B8" s="95" t="s">
        <v>29</v>
      </c>
      <c r="C8" s="65"/>
      <c r="D8" s="39">
        <v>0</v>
      </c>
      <c r="E8" s="39">
        <v>0</v>
      </c>
      <c r="F8" s="39">
        <f t="shared" si="0"/>
        <v>0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</row>
    <row r="9" spans="1:18" ht="33.75" customHeight="1" x14ac:dyDescent="0.6">
      <c r="A9" s="43">
        <v>5</v>
      </c>
      <c r="B9" s="95" t="s">
        <v>31</v>
      </c>
      <c r="C9" s="65"/>
      <c r="D9" s="39">
        <v>0</v>
      </c>
      <c r="E9" s="39">
        <v>0</v>
      </c>
      <c r="F9" s="39">
        <f t="shared" si="0"/>
        <v>0</v>
      </c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</row>
    <row r="10" spans="1:18" ht="33.75" customHeight="1" x14ac:dyDescent="0.6">
      <c r="A10" s="43">
        <v>6</v>
      </c>
      <c r="B10" s="95" t="s">
        <v>33</v>
      </c>
      <c r="C10" s="65"/>
      <c r="D10" s="39">
        <v>0</v>
      </c>
      <c r="E10" s="39">
        <v>0</v>
      </c>
      <c r="F10" s="39">
        <f t="shared" si="0"/>
        <v>0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</row>
    <row r="11" spans="1:18" ht="33.75" customHeight="1" x14ac:dyDescent="0.6">
      <c r="A11" s="43">
        <v>7</v>
      </c>
      <c r="B11" s="95" t="s">
        <v>78</v>
      </c>
      <c r="C11" s="65"/>
      <c r="D11" s="39">
        <v>0</v>
      </c>
      <c r="E11" s="39">
        <v>0</v>
      </c>
      <c r="F11" s="39">
        <f t="shared" si="0"/>
        <v>0</v>
      </c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</row>
    <row r="12" spans="1:18" ht="33.75" customHeight="1" x14ac:dyDescent="0.6">
      <c r="A12" s="43">
        <v>8</v>
      </c>
      <c r="B12" s="95" t="s">
        <v>79</v>
      </c>
      <c r="C12" s="77"/>
      <c r="D12" s="39">
        <v>0</v>
      </c>
      <c r="E12" s="39">
        <v>0</v>
      </c>
      <c r="F12" s="46">
        <f t="shared" si="0"/>
        <v>0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</row>
    <row r="13" spans="1:18" ht="33.75" customHeight="1" x14ac:dyDescent="0.6">
      <c r="A13" s="47"/>
      <c r="B13" s="100" t="s">
        <v>80</v>
      </c>
      <c r="C13" s="77"/>
      <c r="D13" s="77"/>
      <c r="E13" s="77"/>
      <c r="F13" s="48">
        <f>(F5+F6+F7+F9+F10+F12)</f>
        <v>0</v>
      </c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</row>
    <row r="14" spans="1:18" ht="33.75" customHeight="1" x14ac:dyDescent="0.6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</row>
    <row r="15" spans="1:18" ht="33.75" customHeight="1" x14ac:dyDescent="0.6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</row>
    <row r="16" spans="1:18" ht="33.75" customHeight="1" x14ac:dyDescent="0.6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</row>
    <row r="17" spans="1:18" ht="33.75" customHeight="1" x14ac:dyDescent="0.6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</row>
    <row r="18" spans="1:18" ht="33.75" customHeight="1" x14ac:dyDescent="0.6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</row>
    <row r="19" spans="1:18" ht="33.75" customHeight="1" x14ac:dyDescent="0.6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</row>
    <row r="20" spans="1:18" ht="33.75" customHeight="1" x14ac:dyDescent="0.6">
      <c r="A20" s="44"/>
      <c r="B20" s="103"/>
      <c r="C20" s="77"/>
      <c r="D20" s="77"/>
      <c r="E20" s="77"/>
      <c r="F20" s="65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</row>
    <row r="21" spans="1:18" ht="33.75" customHeight="1" x14ac:dyDescent="0.6">
      <c r="A21" s="44"/>
      <c r="B21" s="49"/>
      <c r="C21" s="102"/>
      <c r="D21" s="65"/>
      <c r="E21" s="49"/>
      <c r="F21" s="49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</row>
    <row r="22" spans="1:18" ht="33.75" customHeight="1" x14ac:dyDescent="0.6">
      <c r="A22" s="44"/>
      <c r="B22" s="50"/>
      <c r="C22" s="101"/>
      <c r="D22" s="65"/>
      <c r="E22" s="51"/>
      <c r="F22" s="51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</row>
    <row r="23" spans="1:18" ht="33.75" customHeight="1" x14ac:dyDescent="0.6">
      <c r="A23" s="44"/>
      <c r="B23" s="52"/>
      <c r="C23" s="101"/>
      <c r="D23" s="65"/>
      <c r="E23" s="51"/>
      <c r="F23" s="51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</row>
    <row r="24" spans="1:18" ht="33.75" customHeight="1" x14ac:dyDescent="0.6">
      <c r="A24" s="44"/>
      <c r="B24" s="53"/>
      <c r="C24" s="101"/>
      <c r="D24" s="65"/>
      <c r="E24" s="51"/>
      <c r="F24" s="51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</row>
    <row r="25" spans="1:18" ht="33.75" customHeight="1" x14ac:dyDescent="0.6">
      <c r="A25" s="44"/>
      <c r="B25" s="53"/>
      <c r="C25" s="101"/>
      <c r="D25" s="65"/>
      <c r="E25" s="51"/>
      <c r="F25" s="51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</row>
    <row r="26" spans="1:18" ht="33.75" customHeight="1" x14ac:dyDescent="0.6">
      <c r="A26" s="44"/>
      <c r="B26" s="53"/>
      <c r="C26" s="101"/>
      <c r="D26" s="65"/>
      <c r="E26" s="51"/>
      <c r="F26" s="51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</row>
    <row r="27" spans="1:18" ht="33.75" customHeight="1" x14ac:dyDescent="0.6">
      <c r="A27" s="44"/>
      <c r="B27" s="53"/>
      <c r="C27" s="101"/>
      <c r="D27" s="65"/>
      <c r="E27" s="51"/>
      <c r="F27" s="51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</row>
    <row r="28" spans="1:18" ht="33.75" customHeight="1" x14ac:dyDescent="0.6">
      <c r="A28" s="44"/>
      <c r="B28" s="53"/>
      <c r="C28" s="101"/>
      <c r="D28" s="65"/>
      <c r="E28" s="51"/>
      <c r="F28" s="51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</row>
    <row r="29" spans="1:18" ht="33.75" customHeight="1" x14ac:dyDescent="0.6">
      <c r="A29" s="44"/>
      <c r="B29" s="53"/>
      <c r="C29" s="101"/>
      <c r="D29" s="77"/>
      <c r="E29" s="54"/>
      <c r="F29" s="5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</row>
    <row r="30" spans="1:18" ht="33.75" customHeight="1" x14ac:dyDescent="0.6">
      <c r="A30" s="44"/>
      <c r="B30" s="55"/>
      <c r="C30" s="96"/>
      <c r="D30" s="77"/>
      <c r="E30" s="77"/>
      <c r="F30" s="77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</row>
    <row r="31" spans="1:18" ht="33.75" customHeight="1" x14ac:dyDescent="0.6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</row>
    <row r="32" spans="1:18" ht="33.75" customHeight="1" x14ac:dyDescent="0.6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</row>
    <row r="33" spans="1:18" ht="33.75" customHeight="1" x14ac:dyDescent="0.6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</row>
    <row r="34" spans="1:18" ht="33.75" customHeight="1" x14ac:dyDescent="0.6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</row>
    <row r="35" spans="1:18" ht="33.75" customHeight="1" x14ac:dyDescent="0.6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</row>
    <row r="36" spans="1:18" ht="33.75" customHeight="1" x14ac:dyDescent="0.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</row>
    <row r="37" spans="1:18" ht="33.75" customHeight="1" x14ac:dyDescent="0.6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</row>
    <row r="38" spans="1:18" ht="33.75" customHeight="1" x14ac:dyDescent="0.6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</row>
    <row r="39" spans="1:18" ht="33.75" customHeight="1" x14ac:dyDescent="0.6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</row>
    <row r="40" spans="1:18" ht="33.75" customHeight="1" x14ac:dyDescent="0.6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</row>
    <row r="41" spans="1:18" ht="33.75" customHeight="1" x14ac:dyDescent="0.6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</row>
    <row r="42" spans="1:18" ht="33.75" customHeight="1" x14ac:dyDescent="0.6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</row>
    <row r="43" spans="1:18" ht="33.75" customHeight="1" x14ac:dyDescent="0.6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</row>
    <row r="44" spans="1:18" ht="33.75" customHeight="1" x14ac:dyDescent="0.6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</row>
    <row r="45" spans="1:18" ht="33.75" customHeight="1" x14ac:dyDescent="0.6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</row>
    <row r="46" spans="1:18" ht="33.75" customHeight="1" x14ac:dyDescent="0.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</row>
    <row r="47" spans="1:18" ht="33.75" customHeight="1" x14ac:dyDescent="0.6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</row>
    <row r="48" spans="1:18" ht="33.75" customHeight="1" x14ac:dyDescent="0.6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</row>
    <row r="49" spans="1:18" ht="33.75" customHeight="1" x14ac:dyDescent="0.6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</row>
    <row r="50" spans="1:18" ht="33.75" customHeight="1" x14ac:dyDescent="0.6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</row>
    <row r="51" spans="1:18" ht="33.75" customHeight="1" x14ac:dyDescent="0.6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</row>
    <row r="52" spans="1:18" ht="33.75" customHeight="1" x14ac:dyDescent="0.6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</row>
    <row r="53" spans="1:18" ht="33.75" customHeight="1" x14ac:dyDescent="0.6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</row>
    <row r="54" spans="1:18" ht="33.75" customHeight="1" x14ac:dyDescent="0.6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</row>
    <row r="55" spans="1:18" ht="33.75" customHeight="1" x14ac:dyDescent="0.6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</row>
    <row r="56" spans="1:18" ht="33.75" customHeight="1" x14ac:dyDescent="0.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</row>
    <row r="57" spans="1:18" ht="33.75" customHeight="1" x14ac:dyDescent="0.6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</row>
    <row r="58" spans="1:18" ht="33.75" customHeight="1" x14ac:dyDescent="0.6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</row>
    <row r="59" spans="1:18" ht="33.75" customHeight="1" x14ac:dyDescent="0.6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</row>
    <row r="60" spans="1:18" ht="33.75" customHeight="1" x14ac:dyDescent="0.6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</row>
    <row r="61" spans="1:18" ht="33.75" customHeight="1" x14ac:dyDescent="0.6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</row>
    <row r="62" spans="1:18" ht="33.75" customHeight="1" x14ac:dyDescent="0.6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</row>
    <row r="63" spans="1:18" ht="33.75" customHeight="1" x14ac:dyDescent="0.6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</row>
    <row r="64" spans="1:18" ht="33.75" customHeight="1" x14ac:dyDescent="0.6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</row>
    <row r="65" spans="1:18" ht="33.75" customHeight="1" x14ac:dyDescent="0.6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</row>
    <row r="66" spans="1:18" ht="33.75" customHeight="1" x14ac:dyDescent="0.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</row>
    <row r="67" spans="1:18" ht="33.75" customHeight="1" x14ac:dyDescent="0.6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</row>
    <row r="68" spans="1:18" ht="33.75" customHeight="1" x14ac:dyDescent="0.6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</row>
    <row r="69" spans="1:18" ht="33.75" customHeight="1" x14ac:dyDescent="0.6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</row>
    <row r="70" spans="1:18" ht="33.75" customHeight="1" x14ac:dyDescent="0.6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</row>
    <row r="71" spans="1:18" ht="33.75" customHeight="1" x14ac:dyDescent="0.6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</row>
    <row r="72" spans="1:18" ht="33.75" customHeight="1" x14ac:dyDescent="0.6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</row>
    <row r="73" spans="1:18" ht="33.75" customHeight="1" x14ac:dyDescent="0.6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</row>
    <row r="74" spans="1:18" ht="33.75" customHeight="1" x14ac:dyDescent="0.6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</row>
    <row r="75" spans="1:18" ht="33.75" customHeight="1" x14ac:dyDescent="0.6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</row>
    <row r="76" spans="1:18" ht="33.75" customHeight="1" x14ac:dyDescent="0.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</row>
    <row r="77" spans="1:18" ht="33.75" customHeight="1" x14ac:dyDescent="0.6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</row>
    <row r="78" spans="1:18" ht="33.75" customHeight="1" x14ac:dyDescent="0.6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</row>
    <row r="79" spans="1:18" ht="33.75" customHeight="1" x14ac:dyDescent="0.6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</row>
    <row r="80" spans="1:18" ht="33.75" customHeight="1" x14ac:dyDescent="0.6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</row>
    <row r="81" spans="1:18" ht="33.75" customHeight="1" x14ac:dyDescent="0.6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</row>
    <row r="82" spans="1:18" ht="33.75" customHeight="1" x14ac:dyDescent="0.6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</row>
    <row r="83" spans="1:18" ht="33.75" customHeight="1" x14ac:dyDescent="0.6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</row>
    <row r="84" spans="1:18" ht="33.75" customHeight="1" x14ac:dyDescent="0.6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</row>
    <row r="85" spans="1:18" ht="33.75" customHeight="1" x14ac:dyDescent="0.6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</row>
    <row r="86" spans="1:18" ht="33.75" customHeight="1" x14ac:dyDescent="0.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</row>
    <row r="87" spans="1:18" ht="33.75" customHeight="1" x14ac:dyDescent="0.6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</row>
    <row r="88" spans="1:18" ht="33.75" customHeight="1" x14ac:dyDescent="0.6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</row>
    <row r="89" spans="1:18" ht="33.75" customHeight="1" x14ac:dyDescent="0.6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</row>
    <row r="90" spans="1:18" ht="33.75" customHeight="1" x14ac:dyDescent="0.6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</row>
    <row r="91" spans="1:18" ht="33.75" customHeight="1" x14ac:dyDescent="0.6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</row>
    <row r="92" spans="1:18" ht="33.75" customHeight="1" x14ac:dyDescent="0.6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</row>
    <row r="93" spans="1:18" ht="33.75" customHeight="1" x14ac:dyDescent="0.6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</row>
    <row r="94" spans="1:18" ht="33.75" customHeight="1" x14ac:dyDescent="0.6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</row>
    <row r="95" spans="1:18" ht="33.75" customHeight="1" x14ac:dyDescent="0.6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</row>
    <row r="96" spans="1:18" ht="33.75" customHeight="1" x14ac:dyDescent="0.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</row>
    <row r="97" spans="1:18" ht="33.75" customHeight="1" x14ac:dyDescent="0.6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</row>
    <row r="98" spans="1:18" ht="33.75" customHeight="1" x14ac:dyDescent="0.6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</row>
    <row r="99" spans="1:18" ht="33.75" customHeight="1" x14ac:dyDescent="0.6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</row>
    <row r="100" spans="1:18" ht="33.75" customHeight="1" x14ac:dyDescent="0.6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</row>
    <row r="101" spans="1:18" ht="33.75" customHeight="1" x14ac:dyDescent="0.6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</row>
    <row r="102" spans="1:18" ht="33.75" customHeight="1" x14ac:dyDescent="0.6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</row>
    <row r="103" spans="1:18" ht="33.75" customHeight="1" x14ac:dyDescent="0.6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</row>
    <row r="104" spans="1:18" ht="33.75" customHeight="1" x14ac:dyDescent="0.6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</row>
    <row r="105" spans="1:18" ht="33.75" customHeight="1" x14ac:dyDescent="0.6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</row>
    <row r="106" spans="1:18" ht="33.75" customHeight="1" x14ac:dyDescent="0.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</row>
    <row r="107" spans="1:18" ht="33.75" customHeight="1" x14ac:dyDescent="0.6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</row>
    <row r="108" spans="1:18" ht="33.75" customHeight="1" x14ac:dyDescent="0.6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</row>
    <row r="109" spans="1:18" ht="33.75" customHeight="1" x14ac:dyDescent="0.6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</row>
    <row r="110" spans="1:18" ht="33.75" customHeight="1" x14ac:dyDescent="0.6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</row>
    <row r="111" spans="1:18" ht="33.75" customHeight="1" x14ac:dyDescent="0.6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</row>
    <row r="112" spans="1:18" ht="33.75" customHeight="1" x14ac:dyDescent="0.6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</row>
    <row r="113" spans="1:18" ht="33.75" customHeight="1" x14ac:dyDescent="0.6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</row>
    <row r="114" spans="1:18" ht="33.75" customHeight="1" x14ac:dyDescent="0.6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</row>
    <row r="115" spans="1:18" ht="33.75" customHeight="1" x14ac:dyDescent="0.6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</row>
    <row r="116" spans="1:18" ht="33.75" customHeight="1" x14ac:dyDescent="0.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</row>
    <row r="117" spans="1:18" ht="33.75" customHeight="1" x14ac:dyDescent="0.6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</row>
    <row r="118" spans="1:18" ht="33.75" customHeight="1" x14ac:dyDescent="0.6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</row>
    <row r="119" spans="1:18" ht="33.75" customHeight="1" x14ac:dyDescent="0.6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</row>
    <row r="120" spans="1:18" ht="33.75" customHeight="1" x14ac:dyDescent="0.6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</row>
    <row r="121" spans="1:18" ht="33.75" customHeight="1" x14ac:dyDescent="0.6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</row>
    <row r="122" spans="1:18" ht="33.75" customHeight="1" x14ac:dyDescent="0.6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</row>
    <row r="123" spans="1:18" ht="33.75" customHeight="1" x14ac:dyDescent="0.6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</row>
    <row r="124" spans="1:18" ht="33.75" customHeight="1" x14ac:dyDescent="0.6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</row>
    <row r="125" spans="1:18" ht="33.75" customHeight="1" x14ac:dyDescent="0.6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</row>
    <row r="126" spans="1:18" ht="33.75" customHeight="1" x14ac:dyDescent="0.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</row>
    <row r="127" spans="1:18" ht="33.75" customHeight="1" x14ac:dyDescent="0.6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</row>
    <row r="128" spans="1:18" ht="33.75" customHeight="1" x14ac:dyDescent="0.6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</row>
    <row r="129" spans="1:18" ht="33.75" customHeight="1" x14ac:dyDescent="0.6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</row>
    <row r="130" spans="1:18" ht="33.75" customHeight="1" x14ac:dyDescent="0.6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</row>
    <row r="131" spans="1:18" ht="33.75" customHeight="1" x14ac:dyDescent="0.6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</row>
    <row r="132" spans="1:18" ht="33.75" customHeight="1" x14ac:dyDescent="0.6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</row>
    <row r="133" spans="1:18" ht="33.75" customHeight="1" x14ac:dyDescent="0.6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</row>
    <row r="134" spans="1:18" ht="33.75" customHeight="1" x14ac:dyDescent="0.6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</row>
    <row r="135" spans="1:18" ht="33.75" customHeight="1" x14ac:dyDescent="0.6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</row>
    <row r="136" spans="1:18" ht="33.75" customHeight="1" x14ac:dyDescent="0.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</row>
    <row r="137" spans="1:18" ht="33.75" customHeight="1" x14ac:dyDescent="0.6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</row>
    <row r="138" spans="1:18" ht="33.75" customHeight="1" x14ac:dyDescent="0.6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</row>
    <row r="139" spans="1:18" ht="33.75" customHeight="1" x14ac:dyDescent="0.6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</row>
    <row r="140" spans="1:18" ht="33.75" customHeight="1" x14ac:dyDescent="0.6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</row>
    <row r="141" spans="1:18" ht="33.75" customHeight="1" x14ac:dyDescent="0.6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</row>
    <row r="142" spans="1:18" ht="33.75" customHeight="1" x14ac:dyDescent="0.6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</row>
    <row r="143" spans="1:18" ht="33.75" customHeight="1" x14ac:dyDescent="0.6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</row>
    <row r="144" spans="1:18" ht="33.75" customHeight="1" x14ac:dyDescent="0.6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</row>
    <row r="145" spans="1:18" ht="33.75" customHeight="1" x14ac:dyDescent="0.6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</row>
    <row r="146" spans="1:18" ht="33.75" customHeight="1" x14ac:dyDescent="0.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</row>
    <row r="147" spans="1:18" ht="33.75" customHeight="1" x14ac:dyDescent="0.6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</row>
    <row r="148" spans="1:18" ht="33.75" customHeight="1" x14ac:dyDescent="0.6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</row>
    <row r="149" spans="1:18" ht="33.75" customHeight="1" x14ac:dyDescent="0.6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</row>
    <row r="150" spans="1:18" ht="33.75" customHeight="1" x14ac:dyDescent="0.6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</row>
    <row r="151" spans="1:18" ht="33.75" customHeight="1" x14ac:dyDescent="0.6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</row>
    <row r="152" spans="1:18" ht="33.75" customHeight="1" x14ac:dyDescent="0.6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</row>
    <row r="153" spans="1:18" ht="33.75" customHeight="1" x14ac:dyDescent="0.6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</row>
    <row r="154" spans="1:18" ht="33.75" customHeight="1" x14ac:dyDescent="0.6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</row>
    <row r="155" spans="1:18" ht="33.75" customHeight="1" x14ac:dyDescent="0.6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</row>
    <row r="156" spans="1:18" ht="33.75" customHeight="1" x14ac:dyDescent="0.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</row>
    <row r="157" spans="1:18" ht="33.75" customHeight="1" x14ac:dyDescent="0.6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</row>
    <row r="158" spans="1:18" ht="33.75" customHeight="1" x14ac:dyDescent="0.6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</row>
    <row r="159" spans="1:18" ht="33.75" customHeight="1" x14ac:dyDescent="0.6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</row>
    <row r="160" spans="1:18" ht="33.75" customHeight="1" x14ac:dyDescent="0.6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</row>
    <row r="161" spans="1:18" ht="33.75" customHeight="1" x14ac:dyDescent="0.6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</row>
    <row r="162" spans="1:18" ht="33.75" customHeight="1" x14ac:dyDescent="0.6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</row>
    <row r="163" spans="1:18" ht="33.75" customHeight="1" x14ac:dyDescent="0.6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</row>
    <row r="164" spans="1:18" ht="33.75" customHeight="1" x14ac:dyDescent="0.6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</row>
    <row r="165" spans="1:18" ht="33.75" customHeight="1" x14ac:dyDescent="0.6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</row>
    <row r="166" spans="1:18" ht="33.75" customHeight="1" x14ac:dyDescent="0.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</row>
    <row r="167" spans="1:18" ht="33.75" customHeight="1" x14ac:dyDescent="0.6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</row>
    <row r="168" spans="1:18" ht="33.75" customHeight="1" x14ac:dyDescent="0.6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</row>
    <row r="169" spans="1:18" ht="33.75" customHeight="1" x14ac:dyDescent="0.6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</row>
    <row r="170" spans="1:18" ht="33.75" customHeight="1" x14ac:dyDescent="0.6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</row>
    <row r="171" spans="1:18" ht="33.75" customHeight="1" x14ac:dyDescent="0.6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</row>
    <row r="172" spans="1:18" ht="33.75" customHeight="1" x14ac:dyDescent="0.6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</row>
    <row r="173" spans="1:18" ht="33.75" customHeight="1" x14ac:dyDescent="0.6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</row>
    <row r="174" spans="1:18" ht="33.75" customHeight="1" x14ac:dyDescent="0.6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</row>
    <row r="175" spans="1:18" ht="33.75" customHeight="1" x14ac:dyDescent="0.6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</row>
    <row r="176" spans="1:18" ht="33.75" customHeight="1" x14ac:dyDescent="0.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</row>
    <row r="177" spans="1:18" ht="33.75" customHeight="1" x14ac:dyDescent="0.6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</row>
    <row r="178" spans="1:18" ht="33.75" customHeight="1" x14ac:dyDescent="0.6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</row>
    <row r="179" spans="1:18" ht="33.75" customHeight="1" x14ac:dyDescent="0.6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</row>
    <row r="180" spans="1:18" ht="33.75" customHeight="1" x14ac:dyDescent="0.6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</row>
    <row r="181" spans="1:18" ht="33.75" customHeight="1" x14ac:dyDescent="0.6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</row>
    <row r="182" spans="1:18" ht="33.75" customHeight="1" x14ac:dyDescent="0.6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</row>
    <row r="183" spans="1:18" ht="33.75" customHeight="1" x14ac:dyDescent="0.6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</row>
    <row r="184" spans="1:18" ht="33.75" customHeight="1" x14ac:dyDescent="0.6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</row>
    <row r="185" spans="1:18" ht="33.75" customHeight="1" x14ac:dyDescent="0.6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</row>
    <row r="186" spans="1:18" ht="33.75" customHeight="1" x14ac:dyDescent="0.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</row>
    <row r="187" spans="1:18" ht="33.75" customHeight="1" x14ac:dyDescent="0.6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</row>
    <row r="188" spans="1:18" ht="33.75" customHeight="1" x14ac:dyDescent="0.6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</row>
    <row r="189" spans="1:18" ht="33.75" customHeight="1" x14ac:dyDescent="0.6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</row>
    <row r="190" spans="1:18" ht="33.75" customHeight="1" x14ac:dyDescent="0.6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</row>
    <row r="191" spans="1:18" ht="33.75" customHeight="1" x14ac:dyDescent="0.6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</row>
    <row r="192" spans="1:18" ht="33.75" customHeight="1" x14ac:dyDescent="0.6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</row>
    <row r="193" spans="1:18" ht="33.75" customHeight="1" x14ac:dyDescent="0.6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</row>
    <row r="194" spans="1:18" ht="33.75" customHeight="1" x14ac:dyDescent="0.6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</row>
    <row r="195" spans="1:18" ht="33.75" customHeight="1" x14ac:dyDescent="0.6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</row>
    <row r="196" spans="1:18" ht="33.75" customHeight="1" x14ac:dyDescent="0.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</row>
    <row r="197" spans="1:18" ht="33.75" customHeight="1" x14ac:dyDescent="0.6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</row>
    <row r="198" spans="1:18" ht="33.75" customHeight="1" x14ac:dyDescent="0.6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</row>
    <row r="199" spans="1:18" ht="33.75" customHeight="1" x14ac:dyDescent="0.6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</row>
    <row r="200" spans="1:18" ht="33.75" customHeight="1" x14ac:dyDescent="0.6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</row>
    <row r="201" spans="1:18" ht="33.75" customHeight="1" x14ac:dyDescent="0.6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</row>
    <row r="202" spans="1:18" ht="33.75" customHeight="1" x14ac:dyDescent="0.6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</row>
    <row r="203" spans="1:18" ht="33.75" customHeight="1" x14ac:dyDescent="0.6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</row>
    <row r="204" spans="1:18" ht="33.75" customHeight="1" x14ac:dyDescent="0.6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</row>
    <row r="205" spans="1:18" ht="33.75" customHeight="1" x14ac:dyDescent="0.6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</row>
    <row r="206" spans="1:18" ht="33.75" customHeight="1" x14ac:dyDescent="0.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</row>
    <row r="207" spans="1:18" ht="33.75" customHeight="1" x14ac:dyDescent="0.6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</row>
    <row r="208" spans="1:18" ht="33.75" customHeight="1" x14ac:dyDescent="0.6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</row>
    <row r="209" spans="1:18" ht="33.75" customHeight="1" x14ac:dyDescent="0.6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</row>
    <row r="210" spans="1:18" ht="33.75" customHeight="1" x14ac:dyDescent="0.6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</row>
    <row r="211" spans="1:18" ht="33.75" customHeight="1" x14ac:dyDescent="0.6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</row>
    <row r="212" spans="1:18" ht="33.75" customHeight="1" x14ac:dyDescent="0.6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</row>
    <row r="213" spans="1:18" ht="33.75" customHeight="1" x14ac:dyDescent="0.6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</row>
    <row r="214" spans="1:18" ht="33.75" customHeight="1" x14ac:dyDescent="0.6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</row>
    <row r="215" spans="1:18" ht="33.75" customHeight="1" x14ac:dyDescent="0.6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</row>
    <row r="216" spans="1:18" ht="33.75" customHeight="1" x14ac:dyDescent="0.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</row>
    <row r="217" spans="1:18" ht="33.75" customHeight="1" x14ac:dyDescent="0.6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</row>
    <row r="218" spans="1:18" ht="33.75" customHeight="1" x14ac:dyDescent="0.6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</row>
    <row r="219" spans="1:18" ht="33.75" customHeight="1" x14ac:dyDescent="0.6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</row>
    <row r="220" spans="1:18" ht="33.75" customHeight="1" x14ac:dyDescent="0.6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</row>
    <row r="221" spans="1:18" ht="33.75" customHeight="1" x14ac:dyDescent="0.6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</row>
    <row r="222" spans="1:18" ht="33.75" customHeight="1" x14ac:dyDescent="0.6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</row>
    <row r="223" spans="1:18" ht="33.75" customHeight="1" x14ac:dyDescent="0.6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</row>
    <row r="224" spans="1:18" ht="33.75" customHeight="1" x14ac:dyDescent="0.6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</row>
    <row r="225" spans="1:18" ht="33.75" customHeight="1" x14ac:dyDescent="0.6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</row>
    <row r="226" spans="1:18" ht="33.75" customHeight="1" x14ac:dyDescent="0.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</row>
    <row r="227" spans="1:18" ht="33.75" customHeight="1" x14ac:dyDescent="0.6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</row>
    <row r="228" spans="1:18" ht="33.75" customHeight="1" x14ac:dyDescent="0.6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</row>
    <row r="229" spans="1:18" ht="33.75" customHeight="1" x14ac:dyDescent="0.6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</row>
    <row r="230" spans="1:18" ht="33.75" customHeight="1" x14ac:dyDescent="0.6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</row>
    <row r="231" spans="1:18" ht="33.75" customHeight="1" x14ac:dyDescent="0.6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</row>
    <row r="232" spans="1:18" ht="33.75" customHeight="1" x14ac:dyDescent="0.6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</row>
    <row r="233" spans="1:18" ht="33.75" customHeight="1" x14ac:dyDescent="0.6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</row>
    <row r="234" spans="1:18" ht="33.75" customHeight="1" x14ac:dyDescent="0.6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</row>
    <row r="235" spans="1:18" ht="33.75" customHeight="1" x14ac:dyDescent="0.6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</row>
    <row r="236" spans="1:18" ht="33.75" customHeight="1" x14ac:dyDescent="0.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</row>
    <row r="237" spans="1:18" ht="33.75" customHeight="1" x14ac:dyDescent="0.6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</row>
    <row r="238" spans="1:18" ht="33.75" customHeight="1" x14ac:dyDescent="0.6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</row>
    <row r="239" spans="1:18" ht="33.75" customHeight="1" x14ac:dyDescent="0.6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</row>
    <row r="240" spans="1:18" ht="33.75" customHeight="1" x14ac:dyDescent="0.6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</row>
    <row r="241" spans="1:18" ht="33.75" customHeight="1" x14ac:dyDescent="0.6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</row>
    <row r="242" spans="1:18" ht="33.75" customHeight="1" x14ac:dyDescent="0.6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</row>
    <row r="243" spans="1:18" ht="33.75" customHeight="1" x14ac:dyDescent="0.6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</row>
    <row r="244" spans="1:18" ht="33.75" customHeight="1" x14ac:dyDescent="0.6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</row>
    <row r="245" spans="1:18" ht="33.75" customHeight="1" x14ac:dyDescent="0.6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</row>
    <row r="246" spans="1:18" ht="33.75" customHeight="1" x14ac:dyDescent="0.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</row>
    <row r="247" spans="1:18" ht="33.75" customHeight="1" x14ac:dyDescent="0.6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</row>
    <row r="248" spans="1:18" ht="33.75" customHeight="1" x14ac:dyDescent="0.6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</row>
    <row r="249" spans="1:18" ht="33.75" customHeight="1" x14ac:dyDescent="0.6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</row>
    <row r="250" spans="1:18" ht="33.75" customHeight="1" x14ac:dyDescent="0.6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</row>
    <row r="251" spans="1:18" ht="33.75" customHeight="1" x14ac:dyDescent="0.6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</row>
    <row r="252" spans="1:18" ht="33.75" customHeight="1" x14ac:dyDescent="0.6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</row>
    <row r="253" spans="1:18" ht="33.75" customHeight="1" x14ac:dyDescent="0.6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</row>
    <row r="254" spans="1:18" ht="33.75" customHeight="1" x14ac:dyDescent="0.6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</row>
    <row r="255" spans="1:18" ht="33.75" customHeight="1" x14ac:dyDescent="0.6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</row>
    <row r="256" spans="1:18" ht="33.75" customHeight="1" x14ac:dyDescent="0.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</row>
    <row r="257" spans="1:18" ht="33.75" customHeight="1" x14ac:dyDescent="0.6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18" ht="33.75" customHeight="1" x14ac:dyDescent="0.6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18" ht="33.75" customHeight="1" x14ac:dyDescent="0.6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18" ht="33.75" customHeight="1" x14ac:dyDescent="0.6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18" ht="33.75" customHeight="1" x14ac:dyDescent="0.6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18" ht="33.75" customHeight="1" x14ac:dyDescent="0.6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18" ht="33.75" customHeight="1" x14ac:dyDescent="0.6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18" ht="33.75" customHeight="1" x14ac:dyDescent="0.6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18" ht="33.75" customHeight="1" x14ac:dyDescent="0.6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18" ht="33.75" customHeight="1" x14ac:dyDescent="0.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18" ht="33.75" customHeight="1" x14ac:dyDescent="0.6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18" ht="33.75" customHeight="1" x14ac:dyDescent="0.6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18" ht="33.75" customHeight="1" x14ac:dyDescent="0.6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18" ht="33.75" customHeight="1" x14ac:dyDescent="0.6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18" ht="33.75" customHeight="1" x14ac:dyDescent="0.6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18" ht="33.75" customHeight="1" x14ac:dyDescent="0.6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1:18" ht="33.75" customHeight="1" x14ac:dyDescent="0.6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</row>
    <row r="274" spans="1:18" ht="33.75" customHeight="1" x14ac:dyDescent="0.6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</row>
    <row r="275" spans="1:18" ht="33.75" customHeight="1" x14ac:dyDescent="0.6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</row>
    <row r="276" spans="1:18" ht="33.75" customHeight="1" x14ac:dyDescent="0.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</row>
    <row r="277" spans="1:18" ht="33.75" customHeight="1" x14ac:dyDescent="0.6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</row>
    <row r="278" spans="1:18" ht="33.75" customHeight="1" x14ac:dyDescent="0.6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</row>
    <row r="279" spans="1:18" ht="33.75" customHeight="1" x14ac:dyDescent="0.6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</row>
    <row r="280" spans="1:18" ht="33.75" customHeight="1" x14ac:dyDescent="0.6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</row>
    <row r="281" spans="1:18" ht="33.75" customHeight="1" x14ac:dyDescent="0.6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</row>
    <row r="282" spans="1:18" ht="33.75" customHeight="1" x14ac:dyDescent="0.6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</row>
    <row r="283" spans="1:18" ht="33.75" customHeight="1" x14ac:dyDescent="0.6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</row>
    <row r="284" spans="1:18" ht="33.75" customHeight="1" x14ac:dyDescent="0.6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</row>
    <row r="285" spans="1:18" ht="33.75" customHeight="1" x14ac:dyDescent="0.6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</row>
    <row r="286" spans="1:18" ht="33.75" customHeight="1" x14ac:dyDescent="0.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</row>
    <row r="287" spans="1:18" ht="33.75" customHeight="1" x14ac:dyDescent="0.6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</row>
    <row r="288" spans="1:18" ht="33.75" customHeight="1" x14ac:dyDescent="0.6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</row>
    <row r="289" spans="1:18" ht="33.75" customHeight="1" x14ac:dyDescent="0.6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</row>
    <row r="290" spans="1:18" ht="33.75" customHeight="1" x14ac:dyDescent="0.6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</row>
    <row r="291" spans="1:18" ht="33.75" customHeight="1" x14ac:dyDescent="0.6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</row>
    <row r="292" spans="1:18" ht="33.75" customHeight="1" x14ac:dyDescent="0.6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</row>
    <row r="293" spans="1:18" ht="33.75" customHeight="1" x14ac:dyDescent="0.6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</row>
    <row r="294" spans="1:18" ht="33.75" customHeight="1" x14ac:dyDescent="0.6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</row>
    <row r="295" spans="1:18" ht="33.75" customHeight="1" x14ac:dyDescent="0.6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</row>
    <row r="296" spans="1:18" ht="33.75" customHeight="1" x14ac:dyDescent="0.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</row>
    <row r="297" spans="1:18" ht="33.75" customHeight="1" x14ac:dyDescent="0.6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</row>
    <row r="298" spans="1:18" ht="33.75" customHeight="1" x14ac:dyDescent="0.6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</row>
    <row r="299" spans="1:18" ht="33.75" customHeight="1" x14ac:dyDescent="0.6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</row>
    <row r="300" spans="1:18" ht="33.75" customHeight="1" x14ac:dyDescent="0.6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</row>
    <row r="301" spans="1:18" ht="33.75" customHeight="1" x14ac:dyDescent="0.6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</row>
    <row r="302" spans="1:18" ht="33.75" customHeight="1" x14ac:dyDescent="0.6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</row>
    <row r="303" spans="1:18" ht="33.75" customHeight="1" x14ac:dyDescent="0.6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</row>
    <row r="304" spans="1:18" ht="33.75" customHeight="1" x14ac:dyDescent="0.6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</row>
    <row r="305" spans="1:18" ht="33.75" customHeight="1" x14ac:dyDescent="0.6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</row>
    <row r="306" spans="1:18" ht="33.75" customHeight="1" x14ac:dyDescent="0.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</row>
    <row r="307" spans="1:18" ht="33.75" customHeight="1" x14ac:dyDescent="0.6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</row>
    <row r="308" spans="1:18" ht="33.75" customHeight="1" x14ac:dyDescent="0.6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</row>
    <row r="309" spans="1:18" ht="33.75" customHeight="1" x14ac:dyDescent="0.6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</row>
    <row r="310" spans="1:18" ht="33.75" customHeight="1" x14ac:dyDescent="0.6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</row>
    <row r="311" spans="1:18" ht="33.75" customHeight="1" x14ac:dyDescent="0.6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</row>
    <row r="312" spans="1:18" ht="33.75" customHeight="1" x14ac:dyDescent="0.6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</row>
    <row r="313" spans="1:18" ht="33.75" customHeight="1" x14ac:dyDescent="0.6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</row>
    <row r="314" spans="1:18" ht="33.75" customHeight="1" x14ac:dyDescent="0.6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</row>
    <row r="315" spans="1:18" ht="33.75" customHeight="1" x14ac:dyDescent="0.6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</row>
    <row r="316" spans="1:18" ht="33.75" customHeight="1" x14ac:dyDescent="0.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</row>
    <row r="317" spans="1:18" ht="33.75" customHeight="1" x14ac:dyDescent="0.6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</row>
    <row r="318" spans="1:18" ht="33.75" customHeight="1" x14ac:dyDescent="0.6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</row>
    <row r="319" spans="1:18" ht="33.75" customHeight="1" x14ac:dyDescent="0.6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</row>
    <row r="320" spans="1:18" ht="33.75" customHeight="1" x14ac:dyDescent="0.6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</row>
    <row r="321" spans="1:18" ht="33.75" customHeight="1" x14ac:dyDescent="0.6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</row>
    <row r="322" spans="1:18" ht="33.75" customHeight="1" x14ac:dyDescent="0.6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</row>
    <row r="323" spans="1:18" ht="33.75" customHeight="1" x14ac:dyDescent="0.6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</row>
    <row r="324" spans="1:18" ht="33.75" customHeight="1" x14ac:dyDescent="0.6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</row>
    <row r="325" spans="1:18" ht="33.75" customHeight="1" x14ac:dyDescent="0.6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</row>
    <row r="326" spans="1:18" ht="33.75" customHeight="1" x14ac:dyDescent="0.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</row>
    <row r="327" spans="1:18" ht="33.75" customHeight="1" x14ac:dyDescent="0.6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</row>
    <row r="328" spans="1:18" ht="33.75" customHeight="1" x14ac:dyDescent="0.6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</row>
    <row r="329" spans="1:18" ht="33.75" customHeight="1" x14ac:dyDescent="0.6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</row>
    <row r="330" spans="1:18" ht="33.75" customHeight="1" x14ac:dyDescent="0.6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</row>
    <row r="331" spans="1:18" ht="33.75" customHeight="1" x14ac:dyDescent="0.6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</row>
    <row r="332" spans="1:18" ht="33.75" customHeight="1" x14ac:dyDescent="0.6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</row>
    <row r="333" spans="1:18" ht="33.75" customHeight="1" x14ac:dyDescent="0.6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</row>
    <row r="334" spans="1:18" ht="33.75" customHeight="1" x14ac:dyDescent="0.6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</row>
    <row r="335" spans="1:18" ht="33.75" customHeight="1" x14ac:dyDescent="0.6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</row>
    <row r="336" spans="1:18" ht="33.75" customHeight="1" x14ac:dyDescent="0.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</row>
    <row r="337" spans="1:18" ht="33.75" customHeight="1" x14ac:dyDescent="0.6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</row>
    <row r="338" spans="1:18" ht="33.75" customHeight="1" x14ac:dyDescent="0.6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</row>
    <row r="339" spans="1:18" ht="33.75" customHeight="1" x14ac:dyDescent="0.6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</row>
    <row r="340" spans="1:18" ht="33.75" customHeight="1" x14ac:dyDescent="0.6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</row>
    <row r="341" spans="1:18" ht="33.75" customHeight="1" x14ac:dyDescent="0.6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</row>
    <row r="342" spans="1:18" ht="33.75" customHeight="1" x14ac:dyDescent="0.6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</row>
    <row r="343" spans="1:18" ht="33.75" customHeight="1" x14ac:dyDescent="0.6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</row>
    <row r="344" spans="1:18" ht="33.75" customHeight="1" x14ac:dyDescent="0.6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</row>
    <row r="345" spans="1:18" ht="33.75" customHeight="1" x14ac:dyDescent="0.6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</row>
    <row r="346" spans="1:18" ht="33.75" customHeight="1" x14ac:dyDescent="0.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</row>
    <row r="347" spans="1:18" ht="33.75" customHeight="1" x14ac:dyDescent="0.6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</row>
    <row r="348" spans="1:18" ht="33.75" customHeight="1" x14ac:dyDescent="0.6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</row>
    <row r="349" spans="1:18" ht="33.75" customHeight="1" x14ac:dyDescent="0.6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</row>
    <row r="350" spans="1:18" ht="33.75" customHeight="1" x14ac:dyDescent="0.6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</row>
    <row r="351" spans="1:18" ht="33.75" customHeight="1" x14ac:dyDescent="0.6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</row>
    <row r="352" spans="1:18" ht="33.75" customHeight="1" x14ac:dyDescent="0.6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</row>
    <row r="353" spans="1:18" ht="33.75" customHeight="1" x14ac:dyDescent="0.6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</row>
    <row r="354" spans="1:18" ht="33.75" customHeight="1" x14ac:dyDescent="0.6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</row>
    <row r="355" spans="1:18" ht="33.75" customHeight="1" x14ac:dyDescent="0.6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</row>
    <row r="356" spans="1:18" ht="33.75" customHeight="1" x14ac:dyDescent="0.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</row>
    <row r="357" spans="1:18" ht="33.75" customHeight="1" x14ac:dyDescent="0.6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</row>
    <row r="358" spans="1:18" ht="33.75" customHeight="1" x14ac:dyDescent="0.6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</row>
    <row r="359" spans="1:18" ht="33.75" customHeight="1" x14ac:dyDescent="0.6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</row>
    <row r="360" spans="1:18" ht="33.75" customHeight="1" x14ac:dyDescent="0.6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</row>
    <row r="361" spans="1:18" ht="33.75" customHeight="1" x14ac:dyDescent="0.6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</row>
    <row r="362" spans="1:18" ht="33.75" customHeight="1" x14ac:dyDescent="0.6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</row>
    <row r="363" spans="1:18" ht="33.75" customHeight="1" x14ac:dyDescent="0.6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</row>
    <row r="364" spans="1:18" ht="33.75" customHeight="1" x14ac:dyDescent="0.6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</row>
    <row r="365" spans="1:18" ht="33.75" customHeight="1" x14ac:dyDescent="0.6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</row>
    <row r="366" spans="1:18" ht="33.75" customHeight="1" x14ac:dyDescent="0.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</row>
    <row r="367" spans="1:18" ht="33.75" customHeight="1" x14ac:dyDescent="0.6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</row>
    <row r="368" spans="1:18" ht="33.75" customHeight="1" x14ac:dyDescent="0.6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</row>
    <row r="369" spans="1:18" ht="33.75" customHeight="1" x14ac:dyDescent="0.6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</row>
    <row r="370" spans="1:18" ht="33.75" customHeight="1" x14ac:dyDescent="0.6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</row>
    <row r="371" spans="1:18" ht="33.75" customHeight="1" x14ac:dyDescent="0.6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</row>
    <row r="372" spans="1:18" ht="33.75" customHeight="1" x14ac:dyDescent="0.6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</row>
    <row r="373" spans="1:18" ht="33.75" customHeight="1" x14ac:dyDescent="0.6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</row>
    <row r="374" spans="1:18" ht="33.75" customHeight="1" x14ac:dyDescent="0.6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</row>
    <row r="375" spans="1:18" ht="33.75" customHeight="1" x14ac:dyDescent="0.6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</row>
    <row r="376" spans="1:18" ht="33.75" customHeight="1" x14ac:dyDescent="0.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</row>
    <row r="377" spans="1:18" ht="33.75" customHeight="1" x14ac:dyDescent="0.6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</row>
    <row r="378" spans="1:18" ht="33.75" customHeight="1" x14ac:dyDescent="0.6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</row>
    <row r="379" spans="1:18" ht="33.75" customHeight="1" x14ac:dyDescent="0.6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</row>
    <row r="380" spans="1:18" ht="33.75" customHeight="1" x14ac:dyDescent="0.6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</row>
    <row r="381" spans="1:18" ht="33.75" customHeight="1" x14ac:dyDescent="0.6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</row>
    <row r="382" spans="1:18" ht="33.75" customHeight="1" x14ac:dyDescent="0.6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</row>
    <row r="383" spans="1:18" ht="33.75" customHeight="1" x14ac:dyDescent="0.6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</row>
    <row r="384" spans="1:18" ht="33.75" customHeight="1" x14ac:dyDescent="0.6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</row>
    <row r="385" spans="1:18" ht="33.75" customHeight="1" x14ac:dyDescent="0.6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</row>
    <row r="386" spans="1:18" ht="33.75" customHeight="1" x14ac:dyDescent="0.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</row>
    <row r="387" spans="1:18" ht="33.75" customHeight="1" x14ac:dyDescent="0.6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</row>
    <row r="388" spans="1:18" ht="33.75" customHeight="1" x14ac:dyDescent="0.6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</row>
    <row r="389" spans="1:18" ht="33.75" customHeight="1" x14ac:dyDescent="0.6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</row>
    <row r="390" spans="1:18" ht="33.75" customHeight="1" x14ac:dyDescent="0.6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</row>
    <row r="391" spans="1:18" ht="33.75" customHeight="1" x14ac:dyDescent="0.6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</row>
    <row r="392" spans="1:18" ht="33.75" customHeight="1" x14ac:dyDescent="0.6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</row>
    <row r="393" spans="1:18" ht="33.75" customHeight="1" x14ac:dyDescent="0.6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</row>
    <row r="394" spans="1:18" ht="33.75" customHeight="1" x14ac:dyDescent="0.6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</row>
    <row r="395" spans="1:18" ht="33.75" customHeight="1" x14ac:dyDescent="0.6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</row>
    <row r="396" spans="1:18" ht="33.75" customHeight="1" x14ac:dyDescent="0.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</row>
    <row r="397" spans="1:18" ht="33.75" customHeight="1" x14ac:dyDescent="0.6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</row>
    <row r="398" spans="1:18" ht="33.75" customHeight="1" x14ac:dyDescent="0.6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</row>
    <row r="399" spans="1:18" ht="33.75" customHeight="1" x14ac:dyDescent="0.6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</row>
    <row r="400" spans="1:18" ht="33.75" customHeight="1" x14ac:dyDescent="0.6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</row>
    <row r="401" spans="1:18" ht="33.75" customHeight="1" x14ac:dyDescent="0.6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</row>
    <row r="402" spans="1:18" ht="33.75" customHeight="1" x14ac:dyDescent="0.6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</row>
    <row r="403" spans="1:18" ht="33.75" customHeight="1" x14ac:dyDescent="0.6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</row>
    <row r="404" spans="1:18" ht="33.75" customHeight="1" x14ac:dyDescent="0.6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</row>
    <row r="405" spans="1:18" ht="33.75" customHeight="1" x14ac:dyDescent="0.6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</row>
    <row r="406" spans="1:18" ht="33.75" customHeight="1" x14ac:dyDescent="0.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</row>
    <row r="407" spans="1:18" ht="33.75" customHeight="1" x14ac:dyDescent="0.6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</row>
    <row r="408" spans="1:18" ht="33.75" customHeight="1" x14ac:dyDescent="0.6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</row>
    <row r="409" spans="1:18" ht="33.75" customHeight="1" x14ac:dyDescent="0.6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</row>
    <row r="410" spans="1:18" ht="33.75" customHeight="1" x14ac:dyDescent="0.6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</row>
    <row r="411" spans="1:18" ht="33.75" customHeight="1" x14ac:dyDescent="0.6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</row>
    <row r="412" spans="1:18" ht="33.75" customHeight="1" x14ac:dyDescent="0.6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</row>
    <row r="413" spans="1:18" ht="33.75" customHeight="1" x14ac:dyDescent="0.6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</row>
    <row r="414" spans="1:18" ht="33.75" customHeight="1" x14ac:dyDescent="0.6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</row>
    <row r="415" spans="1:18" ht="33.75" customHeight="1" x14ac:dyDescent="0.6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</row>
    <row r="416" spans="1:18" ht="33.75" customHeight="1" x14ac:dyDescent="0.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</row>
    <row r="417" spans="1:18" ht="33.75" customHeight="1" x14ac:dyDescent="0.6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</row>
    <row r="418" spans="1:18" ht="33.75" customHeight="1" x14ac:dyDescent="0.6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</row>
    <row r="419" spans="1:18" ht="33.75" customHeight="1" x14ac:dyDescent="0.6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</row>
    <row r="420" spans="1:18" ht="33.75" customHeight="1" x14ac:dyDescent="0.6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</row>
    <row r="421" spans="1:18" ht="33.75" customHeight="1" x14ac:dyDescent="0.6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</row>
    <row r="422" spans="1:18" ht="33.75" customHeight="1" x14ac:dyDescent="0.6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</row>
    <row r="423" spans="1:18" ht="33.75" customHeight="1" x14ac:dyDescent="0.6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</row>
    <row r="424" spans="1:18" ht="33.75" customHeight="1" x14ac:dyDescent="0.6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</row>
    <row r="425" spans="1:18" ht="33.75" customHeight="1" x14ac:dyDescent="0.6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</row>
    <row r="426" spans="1:18" ht="33.75" customHeight="1" x14ac:dyDescent="0.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</row>
    <row r="427" spans="1:18" ht="33.75" customHeight="1" x14ac:dyDescent="0.6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</row>
    <row r="428" spans="1:18" ht="33.75" customHeight="1" x14ac:dyDescent="0.6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</row>
    <row r="429" spans="1:18" ht="33.75" customHeight="1" x14ac:dyDescent="0.6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</row>
    <row r="430" spans="1:18" ht="33.75" customHeight="1" x14ac:dyDescent="0.6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</row>
    <row r="431" spans="1:18" ht="33.75" customHeight="1" x14ac:dyDescent="0.6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</row>
    <row r="432" spans="1:18" ht="33.75" customHeight="1" x14ac:dyDescent="0.6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</row>
    <row r="433" spans="1:18" ht="33.75" customHeight="1" x14ac:dyDescent="0.6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</row>
    <row r="434" spans="1:18" ht="33.75" customHeight="1" x14ac:dyDescent="0.6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</row>
    <row r="435" spans="1:18" ht="33.75" customHeight="1" x14ac:dyDescent="0.6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</row>
    <row r="436" spans="1:18" ht="33.75" customHeight="1" x14ac:dyDescent="0.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</row>
    <row r="437" spans="1:18" ht="33.75" customHeight="1" x14ac:dyDescent="0.6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</row>
    <row r="438" spans="1:18" ht="33.75" customHeight="1" x14ac:dyDescent="0.6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</row>
    <row r="439" spans="1:18" ht="33.75" customHeight="1" x14ac:dyDescent="0.6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</row>
    <row r="440" spans="1:18" ht="33.75" customHeight="1" x14ac:dyDescent="0.6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</row>
    <row r="441" spans="1:18" ht="33.75" customHeight="1" x14ac:dyDescent="0.6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</row>
    <row r="442" spans="1:18" ht="33.75" customHeight="1" x14ac:dyDescent="0.6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</row>
    <row r="443" spans="1:18" ht="33.75" customHeight="1" x14ac:dyDescent="0.6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</row>
    <row r="444" spans="1:18" ht="33.75" customHeight="1" x14ac:dyDescent="0.6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</row>
    <row r="445" spans="1:18" ht="33.75" customHeight="1" x14ac:dyDescent="0.6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</row>
    <row r="446" spans="1:18" ht="33.75" customHeight="1" x14ac:dyDescent="0.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</row>
    <row r="447" spans="1:18" ht="33.75" customHeight="1" x14ac:dyDescent="0.6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</row>
    <row r="448" spans="1:18" ht="33.75" customHeight="1" x14ac:dyDescent="0.6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</row>
    <row r="449" spans="1:18" ht="33.75" customHeight="1" x14ac:dyDescent="0.6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</row>
    <row r="450" spans="1:18" ht="33.75" customHeight="1" x14ac:dyDescent="0.6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</row>
    <row r="451" spans="1:18" ht="33.75" customHeight="1" x14ac:dyDescent="0.6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</row>
    <row r="452" spans="1:18" ht="33.75" customHeight="1" x14ac:dyDescent="0.6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</row>
    <row r="453" spans="1:18" ht="33.75" customHeight="1" x14ac:dyDescent="0.6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</row>
    <row r="454" spans="1:18" ht="33.75" customHeight="1" x14ac:dyDescent="0.6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</row>
    <row r="455" spans="1:18" ht="33.75" customHeight="1" x14ac:dyDescent="0.6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</row>
    <row r="456" spans="1:18" ht="33.75" customHeight="1" x14ac:dyDescent="0.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</row>
    <row r="457" spans="1:18" ht="33.75" customHeight="1" x14ac:dyDescent="0.6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</row>
    <row r="458" spans="1:18" ht="33.75" customHeight="1" x14ac:dyDescent="0.6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</row>
    <row r="459" spans="1:18" ht="33.75" customHeight="1" x14ac:dyDescent="0.6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</row>
    <row r="460" spans="1:18" ht="33.75" customHeight="1" x14ac:dyDescent="0.6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</row>
    <row r="461" spans="1:18" ht="33.75" customHeight="1" x14ac:dyDescent="0.6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</row>
    <row r="462" spans="1:18" ht="33.75" customHeight="1" x14ac:dyDescent="0.6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</row>
    <row r="463" spans="1:18" ht="33.75" customHeight="1" x14ac:dyDescent="0.6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</row>
    <row r="464" spans="1:18" ht="33.75" customHeight="1" x14ac:dyDescent="0.6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</row>
    <row r="465" spans="1:18" ht="33.75" customHeight="1" x14ac:dyDescent="0.6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</row>
    <row r="466" spans="1:18" ht="33.75" customHeight="1" x14ac:dyDescent="0.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</row>
    <row r="467" spans="1:18" ht="33.75" customHeight="1" x14ac:dyDescent="0.6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</row>
    <row r="468" spans="1:18" ht="33.75" customHeight="1" x14ac:dyDescent="0.6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</row>
    <row r="469" spans="1:18" ht="33.75" customHeight="1" x14ac:dyDescent="0.6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</row>
    <row r="470" spans="1:18" ht="33.75" customHeight="1" x14ac:dyDescent="0.6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</row>
    <row r="471" spans="1:18" ht="33.75" customHeight="1" x14ac:dyDescent="0.6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</row>
    <row r="472" spans="1:18" ht="33.75" customHeight="1" x14ac:dyDescent="0.6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</row>
    <row r="473" spans="1:18" ht="33.75" customHeight="1" x14ac:dyDescent="0.6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</row>
    <row r="474" spans="1:18" ht="33.75" customHeight="1" x14ac:dyDescent="0.6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</row>
    <row r="475" spans="1:18" ht="33.75" customHeight="1" x14ac:dyDescent="0.6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</row>
    <row r="476" spans="1:18" ht="33.75" customHeight="1" x14ac:dyDescent="0.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</row>
    <row r="477" spans="1:18" ht="33.75" customHeight="1" x14ac:dyDescent="0.6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</row>
    <row r="478" spans="1:18" ht="33.75" customHeight="1" x14ac:dyDescent="0.6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</row>
    <row r="479" spans="1:18" ht="33.75" customHeight="1" x14ac:dyDescent="0.6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</row>
    <row r="480" spans="1:18" ht="33.75" customHeight="1" x14ac:dyDescent="0.6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</row>
    <row r="481" spans="1:18" ht="33.75" customHeight="1" x14ac:dyDescent="0.6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</row>
    <row r="482" spans="1:18" ht="33.75" customHeight="1" x14ac:dyDescent="0.6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</row>
    <row r="483" spans="1:18" ht="33.75" customHeight="1" x14ac:dyDescent="0.6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</row>
    <row r="484" spans="1:18" ht="33.75" customHeight="1" x14ac:dyDescent="0.6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</row>
    <row r="485" spans="1:18" ht="33.75" customHeight="1" x14ac:dyDescent="0.6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</row>
    <row r="486" spans="1:18" ht="33.75" customHeight="1" x14ac:dyDescent="0.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</row>
    <row r="487" spans="1:18" ht="33.75" customHeight="1" x14ac:dyDescent="0.6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</row>
    <row r="488" spans="1:18" ht="33.75" customHeight="1" x14ac:dyDescent="0.6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</row>
    <row r="489" spans="1:18" ht="33.75" customHeight="1" x14ac:dyDescent="0.6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</row>
    <row r="490" spans="1:18" ht="33.75" customHeight="1" x14ac:dyDescent="0.6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</row>
    <row r="491" spans="1:18" ht="33.75" customHeight="1" x14ac:dyDescent="0.6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</row>
    <row r="492" spans="1:18" ht="33.75" customHeight="1" x14ac:dyDescent="0.6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</row>
    <row r="493" spans="1:18" ht="33.75" customHeight="1" x14ac:dyDescent="0.6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</row>
    <row r="494" spans="1:18" ht="33.75" customHeight="1" x14ac:dyDescent="0.6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</row>
    <row r="495" spans="1:18" ht="33.75" customHeight="1" x14ac:dyDescent="0.6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</row>
    <row r="496" spans="1:18" ht="33.75" customHeight="1" x14ac:dyDescent="0.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</row>
    <row r="497" spans="1:18" ht="33.75" customHeight="1" x14ac:dyDescent="0.6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</row>
    <row r="498" spans="1:18" ht="33.75" customHeight="1" x14ac:dyDescent="0.6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</row>
    <row r="499" spans="1:18" ht="33.75" customHeight="1" x14ac:dyDescent="0.6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</row>
    <row r="500" spans="1:18" ht="33.75" customHeight="1" x14ac:dyDescent="0.6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</row>
    <row r="501" spans="1:18" ht="33.75" customHeight="1" x14ac:dyDescent="0.6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</row>
    <row r="502" spans="1:18" ht="33.75" customHeight="1" x14ac:dyDescent="0.6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</row>
    <row r="503" spans="1:18" ht="33.75" customHeight="1" x14ac:dyDescent="0.6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</row>
    <row r="504" spans="1:18" ht="33.75" customHeight="1" x14ac:dyDescent="0.6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</row>
    <row r="505" spans="1:18" ht="33.75" customHeight="1" x14ac:dyDescent="0.6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</row>
    <row r="506" spans="1:18" ht="33.75" customHeight="1" x14ac:dyDescent="0.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</row>
    <row r="507" spans="1:18" ht="33.75" customHeight="1" x14ac:dyDescent="0.6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</row>
    <row r="508" spans="1:18" ht="33.75" customHeight="1" x14ac:dyDescent="0.6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</row>
    <row r="509" spans="1:18" ht="33.75" customHeight="1" x14ac:dyDescent="0.6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</row>
    <row r="510" spans="1:18" ht="33.75" customHeight="1" x14ac:dyDescent="0.6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</row>
    <row r="511" spans="1:18" ht="33.75" customHeight="1" x14ac:dyDescent="0.6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</row>
    <row r="512" spans="1:18" ht="33.75" customHeight="1" x14ac:dyDescent="0.6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</row>
    <row r="513" spans="1:18" ht="33.75" customHeight="1" x14ac:dyDescent="0.6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</row>
    <row r="514" spans="1:18" ht="33.75" customHeight="1" x14ac:dyDescent="0.6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</row>
    <row r="515" spans="1:18" ht="33.75" customHeight="1" x14ac:dyDescent="0.6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</row>
    <row r="516" spans="1:18" ht="33.75" customHeight="1" x14ac:dyDescent="0.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</row>
    <row r="517" spans="1:18" ht="33.75" customHeight="1" x14ac:dyDescent="0.6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</row>
    <row r="518" spans="1:18" ht="33.75" customHeight="1" x14ac:dyDescent="0.6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</row>
    <row r="519" spans="1:18" ht="33.75" customHeight="1" x14ac:dyDescent="0.6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</row>
    <row r="520" spans="1:18" ht="33.75" customHeight="1" x14ac:dyDescent="0.6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</row>
    <row r="521" spans="1:18" ht="33.75" customHeight="1" x14ac:dyDescent="0.6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</row>
    <row r="522" spans="1:18" ht="33.75" customHeight="1" x14ac:dyDescent="0.6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</row>
    <row r="523" spans="1:18" ht="33.75" customHeight="1" x14ac:dyDescent="0.6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</row>
    <row r="524" spans="1:18" ht="33.75" customHeight="1" x14ac:dyDescent="0.6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</row>
    <row r="525" spans="1:18" ht="33.75" customHeight="1" x14ac:dyDescent="0.6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</row>
    <row r="526" spans="1:18" ht="33.75" customHeight="1" x14ac:dyDescent="0.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</row>
    <row r="527" spans="1:18" ht="33.75" customHeight="1" x14ac:dyDescent="0.6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</row>
    <row r="528" spans="1:18" ht="33.75" customHeight="1" x14ac:dyDescent="0.6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</row>
    <row r="529" spans="1:18" ht="33.75" customHeight="1" x14ac:dyDescent="0.6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</row>
    <row r="530" spans="1:18" ht="33.75" customHeight="1" x14ac:dyDescent="0.6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</row>
    <row r="531" spans="1:18" ht="33.75" customHeight="1" x14ac:dyDescent="0.6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</row>
    <row r="532" spans="1:18" ht="33.75" customHeight="1" x14ac:dyDescent="0.6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</row>
    <row r="533" spans="1:18" ht="33.75" customHeight="1" x14ac:dyDescent="0.6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</row>
    <row r="534" spans="1:18" ht="33.75" customHeight="1" x14ac:dyDescent="0.6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</row>
    <row r="535" spans="1:18" ht="33.75" customHeight="1" x14ac:dyDescent="0.6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</row>
    <row r="536" spans="1:18" ht="33.75" customHeight="1" x14ac:dyDescent="0.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</row>
    <row r="537" spans="1:18" ht="33.75" customHeight="1" x14ac:dyDescent="0.6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</row>
    <row r="538" spans="1:18" ht="33.75" customHeight="1" x14ac:dyDescent="0.6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</row>
    <row r="539" spans="1:18" ht="33.75" customHeight="1" x14ac:dyDescent="0.6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</row>
    <row r="540" spans="1:18" ht="33.75" customHeight="1" x14ac:dyDescent="0.6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</row>
    <row r="541" spans="1:18" ht="33.75" customHeight="1" x14ac:dyDescent="0.6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</row>
    <row r="542" spans="1:18" ht="33.75" customHeight="1" x14ac:dyDescent="0.6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</row>
    <row r="543" spans="1:18" ht="33.75" customHeight="1" x14ac:dyDescent="0.6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</row>
    <row r="544" spans="1:18" ht="33.75" customHeight="1" x14ac:dyDescent="0.6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</row>
    <row r="545" spans="1:18" ht="33.75" customHeight="1" x14ac:dyDescent="0.6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</row>
    <row r="546" spans="1:18" ht="33.75" customHeight="1" x14ac:dyDescent="0.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</row>
    <row r="547" spans="1:18" ht="33.75" customHeight="1" x14ac:dyDescent="0.6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</row>
    <row r="548" spans="1:18" ht="33.75" customHeight="1" x14ac:dyDescent="0.6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</row>
    <row r="549" spans="1:18" ht="33.75" customHeight="1" x14ac:dyDescent="0.6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</row>
    <row r="550" spans="1:18" ht="33.75" customHeight="1" x14ac:dyDescent="0.6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</row>
    <row r="551" spans="1:18" ht="33.75" customHeight="1" x14ac:dyDescent="0.6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</row>
    <row r="552" spans="1:18" ht="33.75" customHeight="1" x14ac:dyDescent="0.6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</row>
    <row r="553" spans="1:18" ht="33.75" customHeight="1" x14ac:dyDescent="0.6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</row>
    <row r="554" spans="1:18" ht="33.75" customHeight="1" x14ac:dyDescent="0.6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</row>
    <row r="555" spans="1:18" ht="33.75" customHeight="1" x14ac:dyDescent="0.6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</row>
    <row r="556" spans="1:18" ht="33.75" customHeight="1" x14ac:dyDescent="0.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</row>
    <row r="557" spans="1:18" ht="33.75" customHeight="1" x14ac:dyDescent="0.6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</row>
    <row r="558" spans="1:18" ht="33.75" customHeight="1" x14ac:dyDescent="0.6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</row>
    <row r="559" spans="1:18" ht="33.75" customHeight="1" x14ac:dyDescent="0.6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</row>
    <row r="560" spans="1:18" ht="33.75" customHeight="1" x14ac:dyDescent="0.6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</row>
    <row r="561" spans="1:18" ht="33.75" customHeight="1" x14ac:dyDescent="0.6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</row>
    <row r="562" spans="1:18" ht="33.75" customHeight="1" x14ac:dyDescent="0.6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</row>
    <row r="563" spans="1:18" ht="33.75" customHeight="1" x14ac:dyDescent="0.6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</row>
    <row r="564" spans="1:18" ht="33.75" customHeight="1" x14ac:dyDescent="0.6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</row>
    <row r="565" spans="1:18" ht="33.75" customHeight="1" x14ac:dyDescent="0.6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</row>
    <row r="566" spans="1:18" ht="33.75" customHeight="1" x14ac:dyDescent="0.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</row>
    <row r="567" spans="1:18" ht="33.75" customHeight="1" x14ac:dyDescent="0.6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</row>
    <row r="568" spans="1:18" ht="33.75" customHeight="1" x14ac:dyDescent="0.6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</row>
    <row r="569" spans="1:18" ht="33.75" customHeight="1" x14ac:dyDescent="0.6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</row>
    <row r="570" spans="1:18" ht="33.75" customHeight="1" x14ac:dyDescent="0.6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</row>
    <row r="571" spans="1:18" ht="33.75" customHeight="1" x14ac:dyDescent="0.6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</row>
    <row r="572" spans="1:18" ht="33.75" customHeight="1" x14ac:dyDescent="0.6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</row>
    <row r="573" spans="1:18" ht="33.75" customHeight="1" x14ac:dyDescent="0.6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</row>
    <row r="574" spans="1:18" ht="33.75" customHeight="1" x14ac:dyDescent="0.6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</row>
    <row r="575" spans="1:18" ht="33.75" customHeight="1" x14ac:dyDescent="0.6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</row>
    <row r="576" spans="1:18" ht="33.75" customHeight="1" x14ac:dyDescent="0.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</row>
    <row r="577" spans="1:18" ht="33.75" customHeight="1" x14ac:dyDescent="0.6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</row>
    <row r="578" spans="1:18" ht="33.75" customHeight="1" x14ac:dyDescent="0.6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</row>
    <row r="579" spans="1:18" ht="33.75" customHeight="1" x14ac:dyDescent="0.6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</row>
    <row r="580" spans="1:18" ht="33.75" customHeight="1" x14ac:dyDescent="0.6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</row>
    <row r="581" spans="1:18" ht="33.75" customHeight="1" x14ac:dyDescent="0.6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</row>
    <row r="582" spans="1:18" ht="33.75" customHeight="1" x14ac:dyDescent="0.6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</row>
    <row r="583" spans="1:18" ht="33.75" customHeight="1" x14ac:dyDescent="0.6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</row>
    <row r="584" spans="1:18" ht="33.75" customHeight="1" x14ac:dyDescent="0.6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</row>
    <row r="585" spans="1:18" ht="33.75" customHeight="1" x14ac:dyDescent="0.6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</row>
    <row r="586" spans="1:18" ht="33.75" customHeight="1" x14ac:dyDescent="0.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</row>
    <row r="587" spans="1:18" ht="33.75" customHeight="1" x14ac:dyDescent="0.6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</row>
    <row r="588" spans="1:18" ht="33.75" customHeight="1" x14ac:dyDescent="0.6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</row>
    <row r="589" spans="1:18" ht="33.75" customHeight="1" x14ac:dyDescent="0.6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</row>
    <row r="590" spans="1:18" ht="33.75" customHeight="1" x14ac:dyDescent="0.6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</row>
    <row r="591" spans="1:18" ht="33.75" customHeight="1" x14ac:dyDescent="0.6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</row>
    <row r="592" spans="1:18" ht="33.75" customHeight="1" x14ac:dyDescent="0.6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</row>
    <row r="593" spans="1:18" ht="33.75" customHeight="1" x14ac:dyDescent="0.6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</row>
    <row r="594" spans="1:18" ht="33.75" customHeight="1" x14ac:dyDescent="0.6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</row>
    <row r="595" spans="1:18" ht="33.75" customHeight="1" x14ac:dyDescent="0.6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</row>
    <row r="596" spans="1:18" ht="33.75" customHeight="1" x14ac:dyDescent="0.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</row>
    <row r="597" spans="1:18" ht="33.75" customHeight="1" x14ac:dyDescent="0.6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</row>
    <row r="598" spans="1:18" ht="33.75" customHeight="1" x14ac:dyDescent="0.6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</row>
    <row r="599" spans="1:18" ht="33.75" customHeight="1" x14ac:dyDescent="0.6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</row>
    <row r="600" spans="1:18" ht="33.75" customHeight="1" x14ac:dyDescent="0.6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</row>
    <row r="601" spans="1:18" ht="33.75" customHeight="1" x14ac:dyDescent="0.6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</row>
    <row r="602" spans="1:18" ht="33.75" customHeight="1" x14ac:dyDescent="0.6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</row>
    <row r="603" spans="1:18" ht="33.75" customHeight="1" x14ac:dyDescent="0.6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</row>
    <row r="604" spans="1:18" ht="33.75" customHeight="1" x14ac:dyDescent="0.6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</row>
    <row r="605" spans="1:18" ht="33.75" customHeight="1" x14ac:dyDescent="0.6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</row>
    <row r="606" spans="1:18" ht="33.75" customHeight="1" x14ac:dyDescent="0.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</row>
    <row r="607" spans="1:18" ht="33.75" customHeight="1" x14ac:dyDescent="0.6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</row>
    <row r="608" spans="1:18" ht="33.75" customHeight="1" x14ac:dyDescent="0.6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</row>
    <row r="609" spans="1:18" ht="33.75" customHeight="1" x14ac:dyDescent="0.6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</row>
    <row r="610" spans="1:18" ht="33.75" customHeight="1" x14ac:dyDescent="0.6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</row>
    <row r="611" spans="1:18" ht="33.75" customHeight="1" x14ac:dyDescent="0.6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</row>
    <row r="612" spans="1:18" ht="33.75" customHeight="1" x14ac:dyDescent="0.6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</row>
    <row r="613" spans="1:18" ht="33.75" customHeight="1" x14ac:dyDescent="0.6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</row>
    <row r="614" spans="1:18" ht="33.75" customHeight="1" x14ac:dyDescent="0.6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</row>
    <row r="615" spans="1:18" ht="33.75" customHeight="1" x14ac:dyDescent="0.6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</row>
    <row r="616" spans="1:18" ht="33.75" customHeight="1" x14ac:dyDescent="0.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</row>
    <row r="617" spans="1:18" ht="33.75" customHeight="1" x14ac:dyDescent="0.6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</row>
    <row r="618" spans="1:18" ht="33.75" customHeight="1" x14ac:dyDescent="0.6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</row>
    <row r="619" spans="1:18" ht="33.75" customHeight="1" x14ac:dyDescent="0.6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</row>
    <row r="620" spans="1:18" ht="33.75" customHeight="1" x14ac:dyDescent="0.6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</row>
    <row r="621" spans="1:18" ht="33.75" customHeight="1" x14ac:dyDescent="0.6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</row>
    <row r="622" spans="1:18" ht="33.75" customHeight="1" x14ac:dyDescent="0.6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</row>
    <row r="623" spans="1:18" ht="33.75" customHeight="1" x14ac:dyDescent="0.6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</row>
    <row r="624" spans="1:18" ht="33.75" customHeight="1" x14ac:dyDescent="0.6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</row>
    <row r="625" spans="1:18" ht="33.75" customHeight="1" x14ac:dyDescent="0.6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</row>
    <row r="626" spans="1:18" ht="33.75" customHeight="1" x14ac:dyDescent="0.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</row>
    <row r="627" spans="1:18" ht="33.75" customHeight="1" x14ac:dyDescent="0.6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</row>
    <row r="628" spans="1:18" ht="33.75" customHeight="1" x14ac:dyDescent="0.6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</row>
    <row r="629" spans="1:18" ht="33.75" customHeight="1" x14ac:dyDescent="0.6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</row>
    <row r="630" spans="1:18" ht="33.75" customHeight="1" x14ac:dyDescent="0.6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</row>
    <row r="631" spans="1:18" ht="33.75" customHeight="1" x14ac:dyDescent="0.6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</row>
    <row r="632" spans="1:18" ht="33.75" customHeight="1" x14ac:dyDescent="0.6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</row>
    <row r="633" spans="1:18" ht="33.75" customHeight="1" x14ac:dyDescent="0.6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</row>
    <row r="634" spans="1:18" ht="33.75" customHeight="1" x14ac:dyDescent="0.6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</row>
    <row r="635" spans="1:18" ht="33.75" customHeight="1" x14ac:dyDescent="0.6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</row>
    <row r="636" spans="1:18" ht="33.75" customHeight="1" x14ac:dyDescent="0.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</row>
    <row r="637" spans="1:18" ht="33.75" customHeight="1" x14ac:dyDescent="0.6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</row>
    <row r="638" spans="1:18" ht="33.75" customHeight="1" x14ac:dyDescent="0.6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</row>
    <row r="639" spans="1:18" ht="33.75" customHeight="1" x14ac:dyDescent="0.6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</row>
    <row r="640" spans="1:18" ht="33.75" customHeight="1" x14ac:dyDescent="0.6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</row>
    <row r="641" spans="1:18" ht="33.75" customHeight="1" x14ac:dyDescent="0.6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</row>
    <row r="642" spans="1:18" ht="33.75" customHeight="1" x14ac:dyDescent="0.6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</row>
    <row r="643" spans="1:18" ht="33.75" customHeight="1" x14ac:dyDescent="0.6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</row>
    <row r="644" spans="1:18" ht="33.75" customHeight="1" x14ac:dyDescent="0.6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</row>
    <row r="645" spans="1:18" ht="33.75" customHeight="1" x14ac:dyDescent="0.6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</row>
    <row r="646" spans="1:18" ht="33.75" customHeight="1" x14ac:dyDescent="0.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</row>
    <row r="647" spans="1:18" ht="33.75" customHeight="1" x14ac:dyDescent="0.6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</row>
    <row r="648" spans="1:18" ht="33.75" customHeight="1" x14ac:dyDescent="0.6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</row>
    <row r="649" spans="1:18" ht="33.75" customHeight="1" x14ac:dyDescent="0.6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</row>
    <row r="650" spans="1:18" ht="33.75" customHeight="1" x14ac:dyDescent="0.6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</row>
    <row r="651" spans="1:18" ht="33.75" customHeight="1" x14ac:dyDescent="0.6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</row>
    <row r="652" spans="1:18" ht="33.75" customHeight="1" x14ac:dyDescent="0.6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</row>
    <row r="653" spans="1:18" ht="33.75" customHeight="1" x14ac:dyDescent="0.6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</row>
    <row r="654" spans="1:18" ht="33.75" customHeight="1" x14ac:dyDescent="0.6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</row>
    <row r="655" spans="1:18" ht="33.75" customHeight="1" x14ac:dyDescent="0.6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</row>
    <row r="656" spans="1:18" ht="33.75" customHeight="1" x14ac:dyDescent="0.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</row>
    <row r="657" spans="1:18" ht="33.75" customHeight="1" x14ac:dyDescent="0.6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</row>
    <row r="658" spans="1:18" ht="33.75" customHeight="1" x14ac:dyDescent="0.6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</row>
    <row r="659" spans="1:18" ht="33.75" customHeight="1" x14ac:dyDescent="0.6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</row>
    <row r="660" spans="1:18" ht="33.75" customHeight="1" x14ac:dyDescent="0.6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</row>
    <row r="661" spans="1:18" ht="33.75" customHeight="1" x14ac:dyDescent="0.6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</row>
    <row r="662" spans="1:18" ht="33.75" customHeight="1" x14ac:dyDescent="0.6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</row>
    <row r="663" spans="1:18" ht="33.75" customHeight="1" x14ac:dyDescent="0.6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</row>
    <row r="664" spans="1:18" ht="33.75" customHeight="1" x14ac:dyDescent="0.6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</row>
    <row r="665" spans="1:18" ht="33.75" customHeight="1" x14ac:dyDescent="0.6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</row>
    <row r="666" spans="1:18" ht="33.75" customHeight="1" x14ac:dyDescent="0.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</row>
    <row r="667" spans="1:18" ht="33.75" customHeight="1" x14ac:dyDescent="0.6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</row>
    <row r="668" spans="1:18" ht="33.75" customHeight="1" x14ac:dyDescent="0.6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</row>
    <row r="669" spans="1:18" ht="33.75" customHeight="1" x14ac:dyDescent="0.6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</row>
    <row r="670" spans="1:18" ht="33.75" customHeight="1" x14ac:dyDescent="0.6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</row>
    <row r="671" spans="1:18" ht="33.75" customHeight="1" x14ac:dyDescent="0.6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</row>
    <row r="672" spans="1:18" ht="33.75" customHeight="1" x14ac:dyDescent="0.6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</row>
    <row r="673" spans="1:18" ht="33.75" customHeight="1" x14ac:dyDescent="0.6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</row>
    <row r="674" spans="1:18" ht="33.75" customHeight="1" x14ac:dyDescent="0.6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</row>
    <row r="675" spans="1:18" ht="33.75" customHeight="1" x14ac:dyDescent="0.6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</row>
    <row r="676" spans="1:18" ht="33.75" customHeight="1" x14ac:dyDescent="0.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</row>
    <row r="677" spans="1:18" ht="33.75" customHeight="1" x14ac:dyDescent="0.6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</row>
    <row r="678" spans="1:18" ht="33.75" customHeight="1" x14ac:dyDescent="0.6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</row>
    <row r="679" spans="1:18" ht="33.75" customHeight="1" x14ac:dyDescent="0.6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</row>
    <row r="680" spans="1:18" ht="33.75" customHeight="1" x14ac:dyDescent="0.6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</row>
    <row r="681" spans="1:18" ht="33.75" customHeight="1" x14ac:dyDescent="0.6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</row>
    <row r="682" spans="1:18" ht="33.75" customHeight="1" x14ac:dyDescent="0.6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</row>
    <row r="683" spans="1:18" ht="33.75" customHeight="1" x14ac:dyDescent="0.6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</row>
    <row r="684" spans="1:18" ht="33.75" customHeight="1" x14ac:dyDescent="0.6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</row>
    <row r="685" spans="1:18" ht="33.75" customHeight="1" x14ac:dyDescent="0.6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</row>
    <row r="686" spans="1:18" ht="33.75" customHeight="1" x14ac:dyDescent="0.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</row>
    <row r="687" spans="1:18" ht="33.75" customHeight="1" x14ac:dyDescent="0.6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</row>
    <row r="688" spans="1:18" ht="33.75" customHeight="1" x14ac:dyDescent="0.6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</row>
    <row r="689" spans="1:18" ht="33.75" customHeight="1" x14ac:dyDescent="0.6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</row>
    <row r="690" spans="1:18" ht="33.75" customHeight="1" x14ac:dyDescent="0.6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</row>
    <row r="691" spans="1:18" ht="33.75" customHeight="1" x14ac:dyDescent="0.6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</row>
    <row r="692" spans="1:18" ht="33.75" customHeight="1" x14ac:dyDescent="0.6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</row>
    <row r="693" spans="1:18" ht="33.75" customHeight="1" x14ac:dyDescent="0.6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</row>
    <row r="694" spans="1:18" ht="33.75" customHeight="1" x14ac:dyDescent="0.6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</row>
    <row r="695" spans="1:18" ht="33.75" customHeight="1" x14ac:dyDescent="0.6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</row>
    <row r="696" spans="1:18" ht="33.75" customHeight="1" x14ac:dyDescent="0.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</row>
    <row r="697" spans="1:18" ht="33.75" customHeight="1" x14ac:dyDescent="0.6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</row>
    <row r="698" spans="1:18" ht="33.75" customHeight="1" x14ac:dyDescent="0.6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</row>
    <row r="699" spans="1:18" ht="33.75" customHeight="1" x14ac:dyDescent="0.6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</row>
    <row r="700" spans="1:18" ht="33.75" customHeight="1" x14ac:dyDescent="0.6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</row>
    <row r="701" spans="1:18" ht="33.75" customHeight="1" x14ac:dyDescent="0.6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</row>
    <row r="702" spans="1:18" ht="33.75" customHeight="1" x14ac:dyDescent="0.6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</row>
    <row r="703" spans="1:18" ht="33.75" customHeight="1" x14ac:dyDescent="0.6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</row>
    <row r="704" spans="1:18" ht="33.75" customHeight="1" x14ac:dyDescent="0.6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</row>
    <row r="705" spans="1:18" ht="33.75" customHeight="1" x14ac:dyDescent="0.6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</row>
    <row r="706" spans="1:18" ht="33.75" customHeight="1" x14ac:dyDescent="0.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</row>
    <row r="707" spans="1:18" ht="33.75" customHeight="1" x14ac:dyDescent="0.6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</row>
    <row r="708" spans="1:18" ht="33.75" customHeight="1" x14ac:dyDescent="0.6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</row>
    <row r="709" spans="1:18" ht="33.75" customHeight="1" x14ac:dyDescent="0.6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</row>
    <row r="710" spans="1:18" ht="33.75" customHeight="1" x14ac:dyDescent="0.6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</row>
    <row r="711" spans="1:18" ht="33.75" customHeight="1" x14ac:dyDescent="0.6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</row>
    <row r="712" spans="1:18" ht="33.75" customHeight="1" x14ac:dyDescent="0.6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</row>
    <row r="713" spans="1:18" ht="33.75" customHeight="1" x14ac:dyDescent="0.6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</row>
    <row r="714" spans="1:18" ht="33.75" customHeight="1" x14ac:dyDescent="0.6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</row>
    <row r="715" spans="1:18" ht="33.75" customHeight="1" x14ac:dyDescent="0.6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</row>
    <row r="716" spans="1:18" ht="33.75" customHeight="1" x14ac:dyDescent="0.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</row>
    <row r="717" spans="1:18" ht="33.75" customHeight="1" x14ac:dyDescent="0.6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</row>
    <row r="718" spans="1:18" ht="33.75" customHeight="1" x14ac:dyDescent="0.6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</row>
    <row r="719" spans="1:18" ht="33.75" customHeight="1" x14ac:dyDescent="0.6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</row>
    <row r="720" spans="1:18" ht="33.75" customHeight="1" x14ac:dyDescent="0.6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</row>
    <row r="721" spans="1:18" ht="33.75" customHeight="1" x14ac:dyDescent="0.6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</row>
    <row r="722" spans="1:18" ht="33.75" customHeight="1" x14ac:dyDescent="0.6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</row>
    <row r="723" spans="1:18" ht="33.75" customHeight="1" x14ac:dyDescent="0.6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</row>
    <row r="724" spans="1:18" ht="33.75" customHeight="1" x14ac:dyDescent="0.6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</row>
    <row r="725" spans="1:18" ht="33.75" customHeight="1" x14ac:dyDescent="0.6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</row>
    <row r="726" spans="1:18" ht="33.75" customHeight="1" x14ac:dyDescent="0.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</row>
    <row r="727" spans="1:18" ht="33.75" customHeight="1" x14ac:dyDescent="0.6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</row>
    <row r="728" spans="1:18" ht="33.75" customHeight="1" x14ac:dyDescent="0.6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</row>
    <row r="729" spans="1:18" ht="33.75" customHeight="1" x14ac:dyDescent="0.6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</row>
    <row r="730" spans="1:18" ht="33.75" customHeight="1" x14ac:dyDescent="0.6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</row>
    <row r="731" spans="1:18" ht="33.75" customHeight="1" x14ac:dyDescent="0.6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</row>
    <row r="732" spans="1:18" ht="33.75" customHeight="1" x14ac:dyDescent="0.6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</row>
    <row r="733" spans="1:18" ht="33.75" customHeight="1" x14ac:dyDescent="0.6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</row>
    <row r="734" spans="1:18" ht="33.75" customHeight="1" x14ac:dyDescent="0.6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</row>
    <row r="735" spans="1:18" ht="33.75" customHeight="1" x14ac:dyDescent="0.6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</row>
    <row r="736" spans="1:18" ht="33.75" customHeight="1" x14ac:dyDescent="0.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</row>
    <row r="737" spans="1:18" ht="33.75" customHeight="1" x14ac:dyDescent="0.6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</row>
    <row r="738" spans="1:18" ht="33.75" customHeight="1" x14ac:dyDescent="0.6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</row>
    <row r="739" spans="1:18" ht="33.75" customHeight="1" x14ac:dyDescent="0.6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</row>
    <row r="740" spans="1:18" ht="33.75" customHeight="1" x14ac:dyDescent="0.6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</row>
    <row r="741" spans="1:18" ht="33.75" customHeight="1" x14ac:dyDescent="0.6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</row>
    <row r="742" spans="1:18" ht="33.75" customHeight="1" x14ac:dyDescent="0.6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</row>
    <row r="743" spans="1:18" ht="33.75" customHeight="1" x14ac:dyDescent="0.6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</row>
    <row r="744" spans="1:18" ht="33.75" customHeight="1" x14ac:dyDescent="0.6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</row>
    <row r="745" spans="1:18" ht="33.75" customHeight="1" x14ac:dyDescent="0.6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</row>
    <row r="746" spans="1:18" ht="33.75" customHeight="1" x14ac:dyDescent="0.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</row>
    <row r="747" spans="1:18" ht="33.75" customHeight="1" x14ac:dyDescent="0.6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</row>
    <row r="748" spans="1:18" ht="33.75" customHeight="1" x14ac:dyDescent="0.6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</row>
    <row r="749" spans="1:18" ht="33.75" customHeight="1" x14ac:dyDescent="0.6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</row>
    <row r="750" spans="1:18" ht="33.75" customHeight="1" x14ac:dyDescent="0.6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</row>
    <row r="751" spans="1:18" ht="33.75" customHeight="1" x14ac:dyDescent="0.6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</row>
    <row r="752" spans="1:18" ht="33.75" customHeight="1" x14ac:dyDescent="0.6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</row>
    <row r="753" spans="1:18" ht="33.75" customHeight="1" x14ac:dyDescent="0.6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</row>
    <row r="754" spans="1:18" ht="33.75" customHeight="1" x14ac:dyDescent="0.6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</row>
    <row r="755" spans="1:18" ht="33.75" customHeight="1" x14ac:dyDescent="0.6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</row>
    <row r="756" spans="1:18" ht="33.75" customHeight="1" x14ac:dyDescent="0.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</row>
    <row r="757" spans="1:18" ht="33.75" customHeight="1" x14ac:dyDescent="0.6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</row>
    <row r="758" spans="1:18" ht="33.75" customHeight="1" x14ac:dyDescent="0.6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</row>
    <row r="759" spans="1:18" ht="33.75" customHeight="1" x14ac:dyDescent="0.6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</row>
    <row r="760" spans="1:18" ht="33.75" customHeight="1" x14ac:dyDescent="0.6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</row>
    <row r="761" spans="1:18" ht="33.75" customHeight="1" x14ac:dyDescent="0.6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</row>
    <row r="762" spans="1:18" ht="33.75" customHeight="1" x14ac:dyDescent="0.6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</row>
    <row r="763" spans="1:18" ht="33.75" customHeight="1" x14ac:dyDescent="0.6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</row>
    <row r="764" spans="1:18" ht="33.75" customHeight="1" x14ac:dyDescent="0.6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</row>
    <row r="765" spans="1:18" ht="33.75" customHeight="1" x14ac:dyDescent="0.6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</row>
    <row r="766" spans="1:18" ht="33.75" customHeight="1" x14ac:dyDescent="0.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</row>
    <row r="767" spans="1:18" ht="33.75" customHeight="1" x14ac:dyDescent="0.6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</row>
    <row r="768" spans="1:18" ht="33.75" customHeight="1" x14ac:dyDescent="0.6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</row>
    <row r="769" spans="1:18" ht="33.75" customHeight="1" x14ac:dyDescent="0.6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</row>
    <row r="770" spans="1:18" ht="33.75" customHeight="1" x14ac:dyDescent="0.6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</row>
    <row r="771" spans="1:18" ht="33.75" customHeight="1" x14ac:dyDescent="0.6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</row>
    <row r="772" spans="1:18" ht="33.75" customHeight="1" x14ac:dyDescent="0.6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</row>
    <row r="773" spans="1:18" ht="33.75" customHeight="1" x14ac:dyDescent="0.6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</row>
    <row r="774" spans="1:18" ht="33.75" customHeight="1" x14ac:dyDescent="0.6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</row>
    <row r="775" spans="1:18" ht="33.75" customHeight="1" x14ac:dyDescent="0.6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</row>
    <row r="776" spans="1:18" ht="33.75" customHeight="1" x14ac:dyDescent="0.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</row>
    <row r="777" spans="1:18" ht="33.75" customHeight="1" x14ac:dyDescent="0.6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</row>
    <row r="778" spans="1:18" ht="33.75" customHeight="1" x14ac:dyDescent="0.6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</row>
    <row r="779" spans="1:18" ht="33.75" customHeight="1" x14ac:dyDescent="0.6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</row>
    <row r="780" spans="1:18" ht="33.75" customHeight="1" x14ac:dyDescent="0.6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</row>
    <row r="781" spans="1:18" ht="33.75" customHeight="1" x14ac:dyDescent="0.6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</row>
    <row r="782" spans="1:18" ht="33.75" customHeight="1" x14ac:dyDescent="0.6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</row>
    <row r="783" spans="1:18" ht="33.75" customHeight="1" x14ac:dyDescent="0.6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</row>
    <row r="784" spans="1:18" ht="33.75" customHeight="1" x14ac:dyDescent="0.6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</row>
    <row r="785" spans="1:18" ht="33.75" customHeight="1" x14ac:dyDescent="0.6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</row>
    <row r="786" spans="1:18" ht="33.75" customHeight="1" x14ac:dyDescent="0.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</row>
    <row r="787" spans="1:18" ht="33.75" customHeight="1" x14ac:dyDescent="0.6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</row>
    <row r="788" spans="1:18" ht="33.75" customHeight="1" x14ac:dyDescent="0.6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</row>
    <row r="789" spans="1:18" ht="33.75" customHeight="1" x14ac:dyDescent="0.6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</row>
    <row r="790" spans="1:18" ht="33.75" customHeight="1" x14ac:dyDescent="0.6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</row>
    <row r="791" spans="1:18" ht="33.75" customHeight="1" x14ac:dyDescent="0.6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</row>
    <row r="792" spans="1:18" ht="33.75" customHeight="1" x14ac:dyDescent="0.6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</row>
    <row r="793" spans="1:18" ht="33.75" customHeight="1" x14ac:dyDescent="0.6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</row>
    <row r="794" spans="1:18" ht="33.75" customHeight="1" x14ac:dyDescent="0.6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</row>
    <row r="795" spans="1:18" ht="33.75" customHeight="1" x14ac:dyDescent="0.6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</row>
    <row r="796" spans="1:18" ht="33.75" customHeight="1" x14ac:dyDescent="0.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</row>
    <row r="797" spans="1:18" ht="33.75" customHeight="1" x14ac:dyDescent="0.6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</row>
    <row r="798" spans="1:18" ht="33.75" customHeight="1" x14ac:dyDescent="0.6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</row>
    <row r="799" spans="1:18" ht="33.75" customHeight="1" x14ac:dyDescent="0.6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</row>
    <row r="800" spans="1:18" ht="33.75" customHeight="1" x14ac:dyDescent="0.6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</row>
    <row r="801" spans="1:18" ht="33.75" customHeight="1" x14ac:dyDescent="0.6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</row>
    <row r="802" spans="1:18" ht="33.75" customHeight="1" x14ac:dyDescent="0.6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</row>
    <row r="803" spans="1:18" ht="33.75" customHeight="1" x14ac:dyDescent="0.6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</row>
    <row r="804" spans="1:18" ht="33.75" customHeight="1" x14ac:dyDescent="0.6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</row>
    <row r="805" spans="1:18" ht="33.75" customHeight="1" x14ac:dyDescent="0.6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</row>
    <row r="806" spans="1:18" ht="33.75" customHeight="1" x14ac:dyDescent="0.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</row>
    <row r="807" spans="1:18" ht="33.75" customHeight="1" x14ac:dyDescent="0.6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</row>
    <row r="808" spans="1:18" ht="33.75" customHeight="1" x14ac:dyDescent="0.6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</row>
    <row r="809" spans="1:18" ht="33.75" customHeight="1" x14ac:dyDescent="0.6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</row>
    <row r="810" spans="1:18" ht="33.75" customHeight="1" x14ac:dyDescent="0.6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</row>
    <row r="811" spans="1:18" ht="33.75" customHeight="1" x14ac:dyDescent="0.6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</row>
    <row r="812" spans="1:18" ht="33.75" customHeight="1" x14ac:dyDescent="0.6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</row>
    <row r="813" spans="1:18" ht="33.75" customHeight="1" x14ac:dyDescent="0.6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</row>
    <row r="814" spans="1:18" ht="33.75" customHeight="1" x14ac:dyDescent="0.6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</row>
    <row r="815" spans="1:18" ht="33.75" customHeight="1" x14ac:dyDescent="0.6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</row>
    <row r="816" spans="1:18" ht="33.75" customHeight="1" x14ac:dyDescent="0.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</row>
    <row r="817" spans="1:18" ht="33.75" customHeight="1" x14ac:dyDescent="0.6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</row>
    <row r="818" spans="1:18" ht="33.75" customHeight="1" x14ac:dyDescent="0.6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</row>
    <row r="819" spans="1:18" ht="33.75" customHeight="1" x14ac:dyDescent="0.6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</row>
    <row r="820" spans="1:18" ht="33.75" customHeight="1" x14ac:dyDescent="0.6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</row>
    <row r="821" spans="1:18" ht="33.75" customHeight="1" x14ac:dyDescent="0.6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</row>
    <row r="822" spans="1:18" ht="33.75" customHeight="1" x14ac:dyDescent="0.6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</row>
    <row r="823" spans="1:18" ht="33.75" customHeight="1" x14ac:dyDescent="0.6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</row>
    <row r="824" spans="1:18" ht="33.75" customHeight="1" x14ac:dyDescent="0.6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</row>
    <row r="825" spans="1:18" ht="33.75" customHeight="1" x14ac:dyDescent="0.6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</row>
    <row r="826" spans="1:18" ht="33.75" customHeight="1" x14ac:dyDescent="0.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</row>
    <row r="827" spans="1:18" ht="33.75" customHeight="1" x14ac:dyDescent="0.6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</row>
    <row r="828" spans="1:18" ht="33.75" customHeight="1" x14ac:dyDescent="0.6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</row>
    <row r="829" spans="1:18" ht="33.75" customHeight="1" x14ac:dyDescent="0.6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</row>
    <row r="830" spans="1:18" ht="33.75" customHeight="1" x14ac:dyDescent="0.6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</row>
    <row r="831" spans="1:18" ht="33.75" customHeight="1" x14ac:dyDescent="0.6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</row>
    <row r="832" spans="1:18" ht="33.75" customHeight="1" x14ac:dyDescent="0.6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</row>
    <row r="833" spans="1:18" ht="33.75" customHeight="1" x14ac:dyDescent="0.6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</row>
    <row r="834" spans="1:18" ht="33.75" customHeight="1" x14ac:dyDescent="0.6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</row>
    <row r="835" spans="1:18" ht="33.75" customHeight="1" x14ac:dyDescent="0.6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</row>
    <row r="836" spans="1:18" ht="33.75" customHeight="1" x14ac:dyDescent="0.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</row>
    <row r="837" spans="1:18" ht="33.75" customHeight="1" x14ac:dyDescent="0.6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</row>
    <row r="838" spans="1:18" ht="33.75" customHeight="1" x14ac:dyDescent="0.6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</row>
    <row r="839" spans="1:18" ht="33.75" customHeight="1" x14ac:dyDescent="0.6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</row>
    <row r="840" spans="1:18" ht="33.75" customHeight="1" x14ac:dyDescent="0.6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</row>
    <row r="841" spans="1:18" ht="33.75" customHeight="1" x14ac:dyDescent="0.6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</row>
    <row r="842" spans="1:18" ht="33.75" customHeight="1" x14ac:dyDescent="0.6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</row>
    <row r="843" spans="1:18" ht="33.75" customHeight="1" x14ac:dyDescent="0.6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</row>
    <row r="844" spans="1:18" ht="33.75" customHeight="1" x14ac:dyDescent="0.6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</row>
    <row r="845" spans="1:18" ht="33.75" customHeight="1" x14ac:dyDescent="0.6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</row>
    <row r="846" spans="1:18" ht="33.75" customHeight="1" x14ac:dyDescent="0.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</row>
    <row r="847" spans="1:18" ht="33.75" customHeight="1" x14ac:dyDescent="0.6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</row>
    <row r="848" spans="1:18" ht="33.75" customHeight="1" x14ac:dyDescent="0.6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</row>
    <row r="849" spans="1:18" ht="33.75" customHeight="1" x14ac:dyDescent="0.6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</row>
    <row r="850" spans="1:18" ht="33.75" customHeight="1" x14ac:dyDescent="0.6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</row>
    <row r="851" spans="1:18" ht="33.75" customHeight="1" x14ac:dyDescent="0.6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</row>
    <row r="852" spans="1:18" ht="33.75" customHeight="1" x14ac:dyDescent="0.6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</row>
    <row r="853" spans="1:18" ht="33.75" customHeight="1" x14ac:dyDescent="0.6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</row>
    <row r="854" spans="1:18" ht="33.75" customHeight="1" x14ac:dyDescent="0.6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</row>
    <row r="855" spans="1:18" ht="33.75" customHeight="1" x14ac:dyDescent="0.6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</row>
    <row r="856" spans="1:18" ht="33.75" customHeight="1" x14ac:dyDescent="0.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</row>
    <row r="857" spans="1:18" ht="33.75" customHeight="1" x14ac:dyDescent="0.6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</row>
    <row r="858" spans="1:18" ht="33.75" customHeight="1" x14ac:dyDescent="0.6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</row>
    <row r="859" spans="1:18" ht="33.75" customHeight="1" x14ac:dyDescent="0.6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</row>
    <row r="860" spans="1:18" ht="33.75" customHeight="1" x14ac:dyDescent="0.6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</row>
    <row r="861" spans="1:18" ht="33.75" customHeight="1" x14ac:dyDescent="0.6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</row>
    <row r="862" spans="1:18" ht="33.75" customHeight="1" x14ac:dyDescent="0.6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</row>
    <row r="863" spans="1:18" ht="33.75" customHeight="1" x14ac:dyDescent="0.6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</row>
    <row r="864" spans="1:18" ht="33.75" customHeight="1" x14ac:dyDescent="0.6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</row>
    <row r="865" spans="1:18" ht="33.75" customHeight="1" x14ac:dyDescent="0.6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</row>
    <row r="866" spans="1:18" ht="33.75" customHeight="1" x14ac:dyDescent="0.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</row>
    <row r="867" spans="1:18" ht="33.75" customHeight="1" x14ac:dyDescent="0.6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</row>
    <row r="868" spans="1:18" ht="33.75" customHeight="1" x14ac:dyDescent="0.6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</row>
    <row r="869" spans="1:18" ht="33.75" customHeight="1" x14ac:dyDescent="0.6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</row>
    <row r="870" spans="1:18" ht="33.75" customHeight="1" x14ac:dyDescent="0.6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</row>
    <row r="871" spans="1:18" ht="33.75" customHeight="1" x14ac:dyDescent="0.6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</row>
    <row r="872" spans="1:18" ht="33.75" customHeight="1" x14ac:dyDescent="0.6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</row>
    <row r="873" spans="1:18" ht="33.75" customHeight="1" x14ac:dyDescent="0.6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</row>
    <row r="874" spans="1:18" ht="33.75" customHeight="1" x14ac:dyDescent="0.6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</row>
    <row r="875" spans="1:18" ht="33.75" customHeight="1" x14ac:dyDescent="0.6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</row>
    <row r="876" spans="1:18" ht="33.75" customHeight="1" x14ac:dyDescent="0.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</row>
    <row r="877" spans="1:18" ht="33.75" customHeight="1" x14ac:dyDescent="0.6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</row>
    <row r="878" spans="1:18" ht="33.75" customHeight="1" x14ac:dyDescent="0.6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</row>
    <row r="879" spans="1:18" ht="33.75" customHeight="1" x14ac:dyDescent="0.6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</row>
    <row r="880" spans="1:18" ht="33.75" customHeight="1" x14ac:dyDescent="0.6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</row>
    <row r="881" spans="1:18" ht="33.75" customHeight="1" x14ac:dyDescent="0.6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</row>
    <row r="882" spans="1:18" ht="33.75" customHeight="1" x14ac:dyDescent="0.6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</row>
    <row r="883" spans="1:18" ht="33.75" customHeight="1" x14ac:dyDescent="0.6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</row>
    <row r="884" spans="1:18" ht="33.75" customHeight="1" x14ac:dyDescent="0.6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</row>
    <row r="885" spans="1:18" ht="33.75" customHeight="1" x14ac:dyDescent="0.6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</row>
    <row r="886" spans="1:18" ht="33.75" customHeight="1" x14ac:dyDescent="0.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</row>
    <row r="887" spans="1:18" ht="33.75" customHeight="1" x14ac:dyDescent="0.6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</row>
    <row r="888" spans="1:18" ht="33.75" customHeight="1" x14ac:dyDescent="0.6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</row>
    <row r="889" spans="1:18" ht="33.75" customHeight="1" x14ac:dyDescent="0.6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</row>
    <row r="890" spans="1:18" ht="33.75" customHeight="1" x14ac:dyDescent="0.6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</row>
    <row r="891" spans="1:18" ht="33.75" customHeight="1" x14ac:dyDescent="0.6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</row>
    <row r="892" spans="1:18" ht="33.75" customHeight="1" x14ac:dyDescent="0.6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</row>
    <row r="893" spans="1:18" ht="33.75" customHeight="1" x14ac:dyDescent="0.6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</row>
    <row r="894" spans="1:18" ht="33.75" customHeight="1" x14ac:dyDescent="0.6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</row>
    <row r="895" spans="1:18" ht="33.75" customHeight="1" x14ac:dyDescent="0.6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</row>
    <row r="896" spans="1:18" ht="33.75" customHeight="1" x14ac:dyDescent="0.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</row>
    <row r="897" spans="1:18" ht="33.75" customHeight="1" x14ac:dyDescent="0.6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</row>
    <row r="898" spans="1:18" ht="33.75" customHeight="1" x14ac:dyDescent="0.6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</row>
    <row r="899" spans="1:18" ht="33.75" customHeight="1" x14ac:dyDescent="0.6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</row>
    <row r="900" spans="1:18" ht="33.75" customHeight="1" x14ac:dyDescent="0.6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</row>
    <row r="901" spans="1:18" ht="33.75" customHeight="1" x14ac:dyDescent="0.6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</row>
    <row r="902" spans="1:18" ht="33.75" customHeight="1" x14ac:dyDescent="0.6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</row>
    <row r="903" spans="1:18" ht="33.75" customHeight="1" x14ac:dyDescent="0.6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</row>
    <row r="904" spans="1:18" ht="33.75" customHeight="1" x14ac:dyDescent="0.6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</row>
    <row r="905" spans="1:18" ht="33.75" customHeight="1" x14ac:dyDescent="0.6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</row>
    <row r="906" spans="1:18" ht="33.75" customHeight="1" x14ac:dyDescent="0.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</row>
    <row r="907" spans="1:18" ht="33.75" customHeight="1" x14ac:dyDescent="0.6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</row>
    <row r="908" spans="1:18" ht="33.75" customHeight="1" x14ac:dyDescent="0.6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</row>
    <row r="909" spans="1:18" ht="33.75" customHeight="1" x14ac:dyDescent="0.6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</row>
    <row r="910" spans="1:18" ht="33.75" customHeight="1" x14ac:dyDescent="0.6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</row>
    <row r="911" spans="1:18" ht="33.75" customHeight="1" x14ac:dyDescent="0.6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</row>
    <row r="912" spans="1:18" ht="33.75" customHeight="1" x14ac:dyDescent="0.6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</row>
    <row r="913" spans="1:18" ht="33.75" customHeight="1" x14ac:dyDescent="0.6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</row>
    <row r="914" spans="1:18" ht="33.75" customHeight="1" x14ac:dyDescent="0.6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</row>
    <row r="915" spans="1:18" ht="33.75" customHeight="1" x14ac:dyDescent="0.6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</row>
    <row r="916" spans="1:18" ht="33.75" customHeight="1" x14ac:dyDescent="0.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</row>
    <row r="917" spans="1:18" ht="33.75" customHeight="1" x14ac:dyDescent="0.6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</row>
    <row r="918" spans="1:18" ht="33.75" customHeight="1" x14ac:dyDescent="0.6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</row>
    <row r="919" spans="1:18" ht="33.75" customHeight="1" x14ac:dyDescent="0.6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</row>
    <row r="920" spans="1:18" ht="33.75" customHeight="1" x14ac:dyDescent="0.6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</row>
    <row r="921" spans="1:18" ht="33.75" customHeight="1" x14ac:dyDescent="0.6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</row>
    <row r="922" spans="1:18" ht="33.75" customHeight="1" x14ac:dyDescent="0.6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</row>
    <row r="923" spans="1:18" ht="33.75" customHeight="1" x14ac:dyDescent="0.6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</row>
    <row r="924" spans="1:18" ht="33.75" customHeight="1" x14ac:dyDescent="0.6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</row>
    <row r="925" spans="1:18" ht="33.75" customHeight="1" x14ac:dyDescent="0.6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</row>
    <row r="926" spans="1:18" ht="33.75" customHeight="1" x14ac:dyDescent="0.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</row>
    <row r="927" spans="1:18" ht="33.75" customHeight="1" x14ac:dyDescent="0.6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</row>
    <row r="928" spans="1:18" ht="33.75" customHeight="1" x14ac:dyDescent="0.6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</row>
    <row r="929" spans="1:18" ht="33.75" customHeight="1" x14ac:dyDescent="0.6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</row>
    <row r="930" spans="1:18" ht="33.75" customHeight="1" x14ac:dyDescent="0.6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</row>
    <row r="931" spans="1:18" ht="33.75" customHeight="1" x14ac:dyDescent="0.6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</row>
    <row r="932" spans="1:18" ht="33.75" customHeight="1" x14ac:dyDescent="0.6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</row>
    <row r="933" spans="1:18" ht="33.75" customHeight="1" x14ac:dyDescent="0.6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</row>
    <row r="934" spans="1:18" ht="33.75" customHeight="1" x14ac:dyDescent="0.6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</row>
    <row r="935" spans="1:18" ht="33.75" customHeight="1" x14ac:dyDescent="0.6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</row>
    <row r="936" spans="1:18" ht="33.75" customHeight="1" x14ac:dyDescent="0.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</row>
    <row r="937" spans="1:18" ht="33.75" customHeight="1" x14ac:dyDescent="0.6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</row>
    <row r="938" spans="1:18" ht="33.75" customHeight="1" x14ac:dyDescent="0.6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</row>
    <row r="939" spans="1:18" ht="33.75" customHeight="1" x14ac:dyDescent="0.6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</row>
    <row r="940" spans="1:18" ht="33.75" customHeight="1" x14ac:dyDescent="0.6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</row>
    <row r="941" spans="1:18" ht="33.75" customHeight="1" x14ac:dyDescent="0.6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</row>
    <row r="942" spans="1:18" ht="33.75" customHeight="1" x14ac:dyDescent="0.6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</row>
    <row r="943" spans="1:18" ht="33.75" customHeight="1" x14ac:dyDescent="0.6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</row>
    <row r="944" spans="1:18" ht="33.75" customHeight="1" x14ac:dyDescent="0.6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</row>
    <row r="945" spans="1:18" ht="33.75" customHeight="1" x14ac:dyDescent="0.6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</row>
    <row r="946" spans="1:18" ht="33.75" customHeight="1" x14ac:dyDescent="0.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</row>
    <row r="947" spans="1:18" ht="33.75" customHeight="1" x14ac:dyDescent="0.6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</row>
    <row r="948" spans="1:18" ht="33.75" customHeight="1" x14ac:dyDescent="0.6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</row>
    <row r="949" spans="1:18" ht="33.75" customHeight="1" x14ac:dyDescent="0.6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</row>
    <row r="950" spans="1:18" ht="33.75" customHeight="1" x14ac:dyDescent="0.6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</row>
    <row r="951" spans="1:18" ht="33.75" customHeight="1" x14ac:dyDescent="0.6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</row>
    <row r="952" spans="1:18" ht="33.75" customHeight="1" x14ac:dyDescent="0.6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</row>
    <row r="953" spans="1:18" ht="33.75" customHeight="1" x14ac:dyDescent="0.6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</row>
    <row r="954" spans="1:18" ht="33.75" customHeight="1" x14ac:dyDescent="0.6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</row>
    <row r="955" spans="1:18" ht="33.75" customHeight="1" x14ac:dyDescent="0.6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</row>
    <row r="956" spans="1:18" ht="33.75" customHeight="1" x14ac:dyDescent="0.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</row>
    <row r="957" spans="1:18" ht="33.75" customHeight="1" x14ac:dyDescent="0.6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</row>
    <row r="958" spans="1:18" ht="33.75" customHeight="1" x14ac:dyDescent="0.6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</row>
    <row r="959" spans="1:18" ht="33.75" customHeight="1" x14ac:dyDescent="0.6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</row>
    <row r="960" spans="1:18" ht="33.75" customHeight="1" x14ac:dyDescent="0.6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</row>
    <row r="961" spans="1:18" ht="33.75" customHeight="1" x14ac:dyDescent="0.6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</row>
    <row r="962" spans="1:18" ht="33.75" customHeight="1" x14ac:dyDescent="0.6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</row>
    <row r="963" spans="1:18" ht="33.75" customHeight="1" x14ac:dyDescent="0.6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</row>
    <row r="964" spans="1:18" ht="33.75" customHeight="1" x14ac:dyDescent="0.6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</row>
    <row r="965" spans="1:18" ht="33.75" customHeight="1" x14ac:dyDescent="0.6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</row>
    <row r="966" spans="1:18" ht="33.75" customHeight="1" x14ac:dyDescent="0.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</row>
    <row r="967" spans="1:18" ht="33.75" customHeight="1" x14ac:dyDescent="0.6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</row>
    <row r="968" spans="1:18" ht="33.75" customHeight="1" x14ac:dyDescent="0.6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</row>
    <row r="969" spans="1:18" ht="33.75" customHeight="1" x14ac:dyDescent="0.6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</row>
    <row r="970" spans="1:18" ht="33.75" customHeight="1" x14ac:dyDescent="0.6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</row>
    <row r="971" spans="1:18" ht="33.75" customHeight="1" x14ac:dyDescent="0.6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</row>
    <row r="972" spans="1:18" ht="33.75" customHeight="1" x14ac:dyDescent="0.6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</row>
    <row r="973" spans="1:18" ht="33.75" customHeight="1" x14ac:dyDescent="0.6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</row>
    <row r="974" spans="1:18" ht="33.75" customHeight="1" x14ac:dyDescent="0.6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</row>
    <row r="975" spans="1:18" ht="33.75" customHeight="1" x14ac:dyDescent="0.6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</row>
    <row r="976" spans="1:18" ht="33.75" customHeight="1" x14ac:dyDescent="0.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</row>
    <row r="977" spans="1:18" ht="33.75" customHeight="1" x14ac:dyDescent="0.6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</row>
    <row r="978" spans="1:18" ht="33.75" customHeight="1" x14ac:dyDescent="0.6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</row>
    <row r="979" spans="1:18" ht="33.75" customHeight="1" x14ac:dyDescent="0.6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</row>
    <row r="980" spans="1:18" ht="33.75" customHeight="1" x14ac:dyDescent="0.6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</row>
    <row r="981" spans="1:18" ht="33.75" customHeight="1" x14ac:dyDescent="0.6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</row>
    <row r="982" spans="1:18" ht="33.75" customHeight="1" x14ac:dyDescent="0.6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</row>
    <row r="983" spans="1:18" ht="33.75" customHeight="1" x14ac:dyDescent="0.6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</row>
    <row r="984" spans="1:18" ht="33.75" customHeight="1" x14ac:dyDescent="0.6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</row>
    <row r="985" spans="1:18" ht="33.75" customHeight="1" x14ac:dyDescent="0.6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</row>
    <row r="986" spans="1:18" ht="33.75" customHeight="1" x14ac:dyDescent="0.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</row>
    <row r="987" spans="1:18" ht="33.75" customHeight="1" x14ac:dyDescent="0.6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</row>
    <row r="988" spans="1:18" ht="33.75" customHeight="1" x14ac:dyDescent="0.6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</row>
    <row r="989" spans="1:18" ht="33.75" customHeight="1" x14ac:dyDescent="0.6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</row>
    <row r="990" spans="1:18" ht="33.75" customHeight="1" x14ac:dyDescent="0.6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</row>
    <row r="991" spans="1:18" ht="33.75" customHeight="1" x14ac:dyDescent="0.6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</row>
    <row r="992" spans="1:18" ht="33.75" customHeight="1" x14ac:dyDescent="0.6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</row>
    <row r="993" spans="1:18" ht="33.75" customHeight="1" x14ac:dyDescent="0.6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</row>
    <row r="994" spans="1:18" ht="33.75" customHeight="1" x14ac:dyDescent="0.6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</row>
    <row r="995" spans="1:18" ht="33.75" customHeight="1" x14ac:dyDescent="0.6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</row>
    <row r="996" spans="1:18" ht="33.75" customHeight="1" x14ac:dyDescent="0.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</row>
    <row r="997" spans="1:18" ht="33.75" customHeight="1" x14ac:dyDescent="0.6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</row>
    <row r="998" spans="1:18" ht="33.75" customHeight="1" x14ac:dyDescent="0.6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</row>
    <row r="999" spans="1:18" ht="33.75" customHeight="1" x14ac:dyDescent="0.6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</row>
  </sheetData>
  <mergeCells count="23">
    <mergeCell ref="C27:D27"/>
    <mergeCell ref="C28:D28"/>
    <mergeCell ref="C29:D29"/>
    <mergeCell ref="C30:F30"/>
    <mergeCell ref="C21:D21"/>
    <mergeCell ref="B4:C4"/>
    <mergeCell ref="B5:C5"/>
    <mergeCell ref="B6:C6"/>
    <mergeCell ref="B7:C7"/>
    <mergeCell ref="B8:C8"/>
    <mergeCell ref="B9:C9"/>
    <mergeCell ref="C26:D26"/>
    <mergeCell ref="B20:F20"/>
    <mergeCell ref="C22:D22"/>
    <mergeCell ref="C23:D23"/>
    <mergeCell ref="C24:D24"/>
    <mergeCell ref="C25:D25"/>
    <mergeCell ref="A1:F2"/>
    <mergeCell ref="A3:F3"/>
    <mergeCell ref="B11:C11"/>
    <mergeCell ref="B12:C12"/>
    <mergeCell ref="B13:E13"/>
    <mergeCell ref="B10:C10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C1000"/>
  <sheetViews>
    <sheetView rightToLeft="1" workbookViewId="0"/>
  </sheetViews>
  <sheetFormatPr baseColWidth="10" defaultColWidth="11.1640625" defaultRowHeight="15" customHeight="1" x14ac:dyDescent="0.2"/>
  <cols>
    <col min="1" max="26" width="8.33203125" customWidth="1"/>
  </cols>
  <sheetData>
    <row r="1" spans="3:3" ht="15.75" customHeight="1" x14ac:dyDescent="0.2"/>
    <row r="2" spans="3:3" ht="15.75" customHeight="1" x14ac:dyDescent="0.2"/>
    <row r="3" spans="3:3" ht="15.75" customHeight="1" x14ac:dyDescent="0.2"/>
    <row r="4" spans="3:3" ht="15.75" customHeight="1" x14ac:dyDescent="0.2"/>
    <row r="5" spans="3:3" ht="15.75" customHeight="1" x14ac:dyDescent="0.2"/>
    <row r="6" spans="3:3" ht="15.75" customHeight="1" x14ac:dyDescent="0.2"/>
    <row r="7" spans="3:3" ht="15.75" customHeight="1" x14ac:dyDescent="0.2"/>
    <row r="8" spans="3:3" ht="15.75" customHeight="1" x14ac:dyDescent="0.2">
      <c r="C8" s="56" t="s">
        <v>54</v>
      </c>
    </row>
    <row r="9" spans="3:3" ht="15.75" customHeight="1" x14ac:dyDescent="0.2">
      <c r="C9" s="57" t="s">
        <v>81</v>
      </c>
    </row>
    <row r="10" spans="3:3" ht="15.75" customHeight="1" x14ac:dyDescent="0.2">
      <c r="C10" s="58" t="s">
        <v>82</v>
      </c>
    </row>
    <row r="11" spans="3:3" ht="15.75" customHeight="1" x14ac:dyDescent="0.2">
      <c r="C11" s="59" t="s">
        <v>83</v>
      </c>
    </row>
    <row r="12" spans="3:3" ht="15.75" customHeight="1" x14ac:dyDescent="0.2"/>
    <row r="13" spans="3:3" ht="15.75" customHeight="1" x14ac:dyDescent="0.2"/>
    <row r="14" spans="3:3" ht="15.75" customHeight="1" x14ac:dyDescent="0.2"/>
    <row r="15" spans="3:3" ht="15.75" customHeight="1" x14ac:dyDescent="0.2"/>
    <row r="16" spans="3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بطاقة المشروع </vt:lpstr>
      <vt:lpstr>المبالغ المباشرة </vt:lpstr>
      <vt:lpstr>المالية </vt:lpstr>
      <vt:lpstr>ميزانية التشغيل </vt:lpstr>
      <vt:lpstr>قاعدة بيانات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Turki bin swidan</dc:creator>
  <cp:lastModifiedBy>Mustafa ...</cp:lastModifiedBy>
  <dcterms:created xsi:type="dcterms:W3CDTF">2023-07-04T17:39:48Z</dcterms:created>
  <dcterms:modified xsi:type="dcterms:W3CDTF">2026-02-05T08:52:39Z</dcterms:modified>
</cp:coreProperties>
</file>